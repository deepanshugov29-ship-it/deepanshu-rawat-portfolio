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13_ncr:1_{648A3FE9-13F5-45A8-929D-8E9330D61ACA}" xr6:coauthVersionLast="47" xr6:coauthVersionMax="47" xr10:uidLastSave="{00000000-0000-0000-0000-000000000000}"/>
  <bookViews>
    <workbookView xWindow="-110" yWindow="-110" windowWidth="19420" windowHeight="10300" xr2:uid="{49620441-D696-0844-B013-40566D8CE6F4}"/>
  </bookViews>
  <sheets>
    <sheet name="Group 1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1" i="1" l="1"/>
  <c r="J71" i="1"/>
  <c r="H63" i="1"/>
  <c r="H71" i="1"/>
  <c r="G71" i="1"/>
  <c r="H59" i="1"/>
  <c r="H73" i="1" s="1"/>
  <c r="G63" i="1"/>
  <c r="G59" i="1"/>
  <c r="H45" i="1"/>
  <c r="H49" i="1" s="1"/>
  <c r="G45" i="1"/>
  <c r="G49" i="1" s="1"/>
  <c r="G29" i="1"/>
  <c r="G27" i="1"/>
  <c r="G73" i="1" l="1"/>
</calcChain>
</file>

<file path=xl/sharedStrings.xml><?xml version="1.0" encoding="utf-8"?>
<sst xmlns="http://schemas.openxmlformats.org/spreadsheetml/2006/main" count="184" uniqueCount="51">
  <si>
    <t>IIMU 2022-23 Term 4 BFMS Assignment -2 Template</t>
  </si>
  <si>
    <t>Instructions:</t>
  </si>
  <si>
    <t xml:space="preserve">1.0. Fill in the appropriate data in this spreadsheet  based on the information provided in the Bank’s Annual Reports </t>
  </si>
  <si>
    <r>
      <t xml:space="preserve">(financial statements </t>
    </r>
    <r>
      <rPr>
        <b/>
        <u/>
        <sz val="12"/>
        <color theme="1"/>
        <rFont val="Calibri (Body)"/>
      </rPr>
      <t>as well as</t>
    </r>
    <r>
      <rPr>
        <sz val="12"/>
        <color theme="1"/>
        <rFont val="Calibri"/>
        <family val="2"/>
        <scheme val="minor"/>
      </rPr>
      <t xml:space="preserve"> report of the chairman and MD/CEO for each year)  </t>
    </r>
  </si>
  <si>
    <r>
      <t xml:space="preserve">2.0.  Consider data </t>
    </r>
    <r>
      <rPr>
        <b/>
        <u/>
        <sz val="12"/>
        <color theme="1"/>
        <rFont val="Calibri (Body)"/>
      </rPr>
      <t>ONLY</t>
    </r>
    <r>
      <rPr>
        <sz val="12"/>
        <color theme="1"/>
        <rFont val="Calibri"/>
        <family val="2"/>
        <scheme val="minor"/>
      </rPr>
      <t xml:space="preserve"> for the India operations of the Bank, </t>
    </r>
    <r>
      <rPr>
        <b/>
        <u/>
        <sz val="12"/>
        <color theme="1"/>
        <rFont val="Calibri (Body)"/>
      </rPr>
      <t>NOT</t>
    </r>
    <r>
      <rPr>
        <sz val="12"/>
        <color theme="1"/>
        <rFont val="Calibri"/>
        <family val="2"/>
        <scheme val="minor"/>
      </rPr>
      <t xml:space="preserve"> the consolidated data covering the international</t>
    </r>
  </si>
  <si>
    <t xml:space="preserve"> operations &amp; india subsidiaries  or joint ventures of the Bank.</t>
  </si>
  <si>
    <t>3.0. All figures should be rounded off to Rs Crores  (for instance, Rs 36566,12,97,090 should be recorded as 36,566)</t>
  </si>
  <si>
    <t>4.0. Based on the data updated in this spread sheet , review (as an Equity Research Analyst would) the performance</t>
  </si>
  <si>
    <t xml:space="preserve">  of the two Banks, individually and comparatively, for the four financial years </t>
  </si>
  <si>
    <t>5.0. Provide your ananlysis in a separate word document. Limit your review document to no more than four  pages</t>
  </si>
  <si>
    <t xml:space="preserve">6.0 Submit the spread sheet (containing the data) and the word document (containing the analysis to my email id </t>
  </si>
  <si>
    <t xml:space="preserve">       pcnarayan@iimu.ac.in, as per the  date and rime deadline specified in the coverign email</t>
  </si>
  <si>
    <t>Bank - 1 Kotak Mahindra Bank</t>
  </si>
  <si>
    <t xml:space="preserve">     Bank - 2 Bank of Baroda</t>
  </si>
  <si>
    <t>2020-21</t>
  </si>
  <si>
    <t>2021-22</t>
  </si>
  <si>
    <t>2022-23</t>
  </si>
  <si>
    <t>2023-24</t>
  </si>
  <si>
    <t>Equity capital</t>
  </si>
  <si>
    <t> </t>
  </si>
  <si>
    <t>Total Reserves and Surplus</t>
  </si>
  <si>
    <t xml:space="preserve">Total Deposits </t>
  </si>
  <si>
    <t>Total Loans and Advances</t>
  </si>
  <si>
    <t>Total Investments</t>
  </si>
  <si>
    <t>Total Assets</t>
  </si>
  <si>
    <t>Total Contingent Liabilities</t>
  </si>
  <si>
    <t>Interest Income</t>
  </si>
  <si>
    <t>Other Income</t>
  </si>
  <si>
    <t>Interest Expense</t>
  </si>
  <si>
    <t>Operating Expense</t>
  </si>
  <si>
    <t xml:space="preserve">Provisions and Contingencies </t>
  </si>
  <si>
    <t>Net Profit for the year</t>
  </si>
  <si>
    <t>Profit (Loss) brought forward</t>
  </si>
  <si>
    <t>Cumulative profit/Loss taken to Balance Sheet</t>
  </si>
  <si>
    <t xml:space="preserve">Core Tier - 1 capital </t>
  </si>
  <si>
    <t>Additional Tier -1 capital</t>
  </si>
  <si>
    <t xml:space="preserve">Other components of Tier -1 capital </t>
  </si>
  <si>
    <t>(if applicable)</t>
  </si>
  <si>
    <t xml:space="preserve">Total Tier-1 capital </t>
  </si>
  <si>
    <t>Subordinated Debt</t>
  </si>
  <si>
    <t>-</t>
  </si>
  <si>
    <t>Provision for Loan Losses</t>
  </si>
  <si>
    <t xml:space="preserve">Other components of Tier -2 capital </t>
  </si>
  <si>
    <t>Total Tier -2 capital</t>
  </si>
  <si>
    <t xml:space="preserve">Risk Weighted Assets </t>
  </si>
  <si>
    <r>
      <t xml:space="preserve">Capital Adequacy Ratio as per </t>
    </r>
    <r>
      <rPr>
        <sz val="12"/>
        <color rgb="FFFF0000"/>
        <rFont val="Calibri (Body)"/>
      </rPr>
      <t>Basel II</t>
    </r>
  </si>
  <si>
    <r>
      <t xml:space="preserve">Capital Adequacy Ratio as per </t>
    </r>
    <r>
      <rPr>
        <sz val="12"/>
        <color rgb="FFFF0000"/>
        <rFont val="Calibri (Body)"/>
      </rPr>
      <t>Basel Iii</t>
    </r>
  </si>
  <si>
    <t xml:space="preserve"> Provision for bad loans</t>
  </si>
  <si>
    <t>Total Technical write-off</t>
  </si>
  <si>
    <t>Gross NPA %</t>
  </si>
  <si>
    <t>Net NPA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</si>
</sst>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%"/>
  </numFmts>
  <fonts count="11">
    <font>
      <sz val="12"/>
      <color theme="1"/>
      <name val="Calibri"/>
      <family val="2"/>
      <scheme val="minor"/>
    </font>
    <font>
      <sz val="12"/>
      <color rgb="FFFF0000"/>
      <name val="Calibri (Body)"/>
    </font>
    <font>
      <b/>
      <sz val="12"/>
      <color theme="1"/>
      <name val="Calibri"/>
      <family val="2"/>
      <scheme val="minor"/>
    </font>
    <font>
      <b/>
      <u/>
      <sz val="12"/>
      <color theme="1"/>
      <name val="Calibri (Body)"/>
    </font>
    <font>
      <b/>
      <sz val="1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i/>
      <sz val="8"/>
      <color rgb="FF002060"/>
      <name val="Calibri"/>
      <family val="2"/>
      <scheme val="minor"/>
    </font>
    <font>
      <sz val="12"/>
      <color theme="5"/>
      <name val="Calibri"/>
      <family val="2"/>
      <scheme val="minor"/>
    </font>
    <font>
      <sz val="8"/>
      <color rgb="FF002060"/>
      <name val="Calibri"/>
      <family val="2"/>
      <scheme val="minor"/>
    </font>
    <font>
      <sz val="12"/>
      <color rgb="FFED7D3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0" fillId="0" borderId="4" xfId="0" applyBorder="1" applyAlignment="1">
      <alignment vertical="center"/>
    </xf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10" xfId="0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/>
    <xf numFmtId="0" fontId="6" fillId="0" borderId="3" xfId="0" applyFont="1" applyBorder="1"/>
    <xf numFmtId="0" fontId="6" fillId="0" borderId="2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0" xfId="0" applyFont="1"/>
    <xf numFmtId="0" fontId="6" fillId="0" borderId="6" xfId="0" applyFont="1" applyBorder="1"/>
    <xf numFmtId="10" fontId="6" fillId="0" borderId="1" xfId="1" applyNumberFormat="1" applyFont="1" applyBorder="1"/>
    <xf numFmtId="9" fontId="6" fillId="0" borderId="3" xfId="1" applyFont="1" applyBorder="1"/>
    <xf numFmtId="9" fontId="7" fillId="0" borderId="3" xfId="1" applyFont="1" applyBorder="1"/>
    <xf numFmtId="0" fontId="8" fillId="0" borderId="3" xfId="0" applyFont="1" applyBorder="1"/>
    <xf numFmtId="10" fontId="9" fillId="0" borderId="3" xfId="1" applyNumberFormat="1" applyFont="1" applyBorder="1"/>
    <xf numFmtId="10" fontId="7" fillId="0" borderId="3" xfId="1" applyNumberFormat="1" applyFont="1" applyBorder="1"/>
    <xf numFmtId="1" fontId="6" fillId="0" borderId="1" xfId="0" applyNumberFormat="1" applyFont="1" applyBorder="1"/>
    <xf numFmtId="164" fontId="0" fillId="0" borderId="0" xfId="1" applyNumberFormat="1" applyFont="1"/>
    <xf numFmtId="0" fontId="10" fillId="0" borderId="1" xfId="0" applyFont="1" applyBorder="1"/>
    <xf numFmtId="0" fontId="10" fillId="0" borderId="3" xfId="0" applyFont="1" applyBorder="1"/>
    <xf numFmtId="0" fontId="10" fillId="0" borderId="2" xfId="0" applyFont="1" applyBorder="1"/>
    <xf numFmtId="0" fontId="10" fillId="0" borderId="2" xfId="0" quotePrefix="1" applyFont="1" applyBorder="1"/>
    <xf numFmtId="0" fontId="10" fillId="0" borderId="7" xfId="0" applyFont="1" applyBorder="1"/>
    <xf numFmtId="0" fontId="10" fillId="0" borderId="0" xfId="0" applyFont="1"/>
    <xf numFmtId="10" fontId="10" fillId="0" borderId="3" xfId="0" applyNumberFormat="1" applyFont="1" applyBorder="1"/>
    <xf numFmtId="10" fontId="10" fillId="0" borderId="2" xfId="0" applyNumberFormat="1" applyFont="1" applyBorder="1"/>
    <xf numFmtId="0" fontId="10" fillId="0" borderId="15" xfId="0" applyFont="1" applyBorder="1"/>
    <xf numFmtId="10" fontId="6" fillId="0" borderId="1" xfId="0" applyNumberFormat="1" applyFont="1" applyBorder="1"/>
    <xf numFmtId="0" fontId="10" fillId="0" borderId="9" xfId="0" applyFont="1" applyBorder="1"/>
    <xf numFmtId="3" fontId="10" fillId="0" borderId="1" xfId="0" applyNumberFormat="1" applyFont="1" applyBorder="1"/>
    <xf numFmtId="3" fontId="10" fillId="0" borderId="2" xfId="0" applyNumberFormat="1" applyFont="1" applyBorder="1"/>
    <xf numFmtId="0" fontId="10" fillId="0" borderId="8" xfId="0" applyFont="1" applyBorder="1"/>
    <xf numFmtId="0" fontId="2" fillId="2" borderId="10" xfId="0" applyFont="1" applyFill="1" applyBorder="1"/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/>
    <xf numFmtId="0" fontId="2" fillId="2" borderId="12" xfId="0" applyFont="1" applyFill="1" applyBorder="1"/>
    <xf numFmtId="0" fontId="2" fillId="3" borderId="10" xfId="0" applyFont="1" applyFill="1" applyBorder="1"/>
    <xf numFmtId="0" fontId="2" fillId="3" borderId="11" xfId="0" applyFont="1" applyFill="1" applyBorder="1" applyAlignment="1">
      <alignment horizontal="center" vertical="center"/>
    </xf>
    <xf numFmtId="0" fontId="2" fillId="3" borderId="11" xfId="0" applyFont="1" applyFill="1" applyBorder="1"/>
    <xf numFmtId="0" fontId="2" fillId="3" borderId="12" xfId="0" applyFont="1" applyFill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F4CB31D4-7AC4-46BD-A304-AFBD2F874C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8079E-759B-074D-AA84-DC68926C11C5}">
  <dimension ref="B1:R84"/>
  <sheetViews>
    <sheetView tabSelected="1" zoomScale="65" zoomScaleNormal="87" workbookViewId="0">
      <selection activeCell="L12" sqref="L12"/>
    </sheetView>
  </sheetViews>
  <sheetFormatPr defaultColWidth="10.58203125" defaultRowHeight="15.5"/>
  <cols>
    <col min="1" max="1" width="4.08203125" customWidth="1"/>
    <col min="2" max="2" width="7.08203125" customWidth="1"/>
    <col min="4" max="4" width="11.33203125" customWidth="1"/>
    <col min="5" max="5" width="18.08203125" customWidth="1"/>
    <col min="6" max="6" width="3.83203125" customWidth="1"/>
    <col min="7" max="7" width="11.5" customWidth="1"/>
    <col min="9" max="9" width="10.08203125" customWidth="1"/>
    <col min="10" max="10" width="8.5" customWidth="1"/>
    <col min="11" max="11" width="4.58203125" customWidth="1"/>
    <col min="12" max="32" width="10.83203125"/>
  </cols>
  <sheetData>
    <row r="1" spans="2:15" ht="16" thickBot="1"/>
    <row r="2" spans="2:15" ht="16" thickBot="1">
      <c r="D2" s="38" t="s">
        <v>0</v>
      </c>
      <c r="E2" s="20"/>
      <c r="F2" s="20"/>
      <c r="G2" s="21"/>
      <c r="H2" s="37"/>
    </row>
    <row r="3" spans="2:15" ht="16" thickBot="1"/>
    <row r="4" spans="2:15" ht="16" thickBot="1">
      <c r="B4" s="26" t="s">
        <v>1</v>
      </c>
      <c r="C4" s="28"/>
    </row>
    <row r="5" spans="2:15">
      <c r="B5" s="30" t="s">
        <v>2</v>
      </c>
      <c r="C5" s="27"/>
      <c r="D5" s="12"/>
      <c r="E5" s="12"/>
      <c r="F5" s="12"/>
      <c r="G5" s="12"/>
      <c r="H5" s="12"/>
      <c r="I5" s="12"/>
      <c r="J5" s="12"/>
      <c r="K5" s="13"/>
    </row>
    <row r="6" spans="2:15" ht="16" thickBot="1">
      <c r="B6" s="14" t="s">
        <v>3</v>
      </c>
      <c r="C6" s="29"/>
      <c r="D6" s="15"/>
      <c r="E6" s="15"/>
      <c r="F6" s="15"/>
      <c r="G6" s="15"/>
      <c r="H6" s="15"/>
      <c r="I6" s="15"/>
      <c r="J6" s="15"/>
      <c r="K6" s="16"/>
    </row>
    <row r="7" spans="2:15">
      <c r="B7" s="31" t="s">
        <v>4</v>
      </c>
      <c r="K7" s="32"/>
    </row>
    <row r="8" spans="2:15" ht="16" thickBot="1">
      <c r="B8" s="14" t="s">
        <v>5</v>
      </c>
      <c r="C8" s="15"/>
      <c r="D8" s="15"/>
      <c r="E8" s="15"/>
      <c r="F8" s="15"/>
      <c r="G8" s="15"/>
      <c r="H8" s="15"/>
      <c r="I8" s="15"/>
      <c r="J8" s="15"/>
      <c r="K8" s="16"/>
    </row>
    <row r="9" spans="2:15" ht="16" thickBot="1">
      <c r="B9" s="33" t="s">
        <v>6</v>
      </c>
      <c r="C9" s="34"/>
      <c r="D9" s="34"/>
      <c r="E9" s="34"/>
      <c r="F9" s="34"/>
      <c r="G9" s="34"/>
      <c r="H9" s="34"/>
      <c r="I9" s="34"/>
      <c r="J9" s="34"/>
      <c r="K9" s="35"/>
    </row>
    <row r="10" spans="2:15">
      <c r="B10" s="11" t="s">
        <v>7</v>
      </c>
      <c r="C10" s="12"/>
      <c r="D10" s="12"/>
      <c r="E10" s="12"/>
      <c r="F10" s="12"/>
      <c r="G10" s="12"/>
      <c r="H10" s="12"/>
      <c r="I10" s="12"/>
      <c r="J10" s="12"/>
      <c r="K10" s="13"/>
    </row>
    <row r="11" spans="2:15" ht="16" thickBot="1">
      <c r="B11" s="14" t="s">
        <v>8</v>
      </c>
      <c r="C11" s="15"/>
      <c r="D11" s="15"/>
      <c r="E11" s="15"/>
      <c r="F11" s="15"/>
      <c r="G11" s="15"/>
      <c r="H11" s="15"/>
      <c r="I11" s="15"/>
      <c r="J11" s="15"/>
      <c r="K11" s="16"/>
    </row>
    <row r="12" spans="2:15" ht="16" thickBot="1">
      <c r="B12" s="33" t="s">
        <v>9</v>
      </c>
      <c r="C12" s="34"/>
      <c r="D12" s="34"/>
      <c r="E12" s="34"/>
      <c r="F12" s="34"/>
      <c r="G12" s="34"/>
      <c r="H12" s="34"/>
      <c r="I12" s="34"/>
      <c r="J12" s="34"/>
      <c r="K12" s="35"/>
    </row>
    <row r="13" spans="2:15">
      <c r="B13" s="11" t="s">
        <v>10</v>
      </c>
      <c r="C13" s="12"/>
      <c r="D13" s="12"/>
      <c r="E13" s="12"/>
      <c r="F13" s="12"/>
      <c r="G13" s="12"/>
      <c r="H13" s="12"/>
      <c r="I13" s="12"/>
      <c r="J13" s="12"/>
      <c r="K13" s="13"/>
    </row>
    <row r="14" spans="2:15" ht="16" thickBot="1">
      <c r="B14" s="14" t="s">
        <v>11</v>
      </c>
      <c r="C14" s="15"/>
      <c r="D14" s="15"/>
      <c r="E14" s="15"/>
      <c r="F14" s="15"/>
      <c r="G14" s="15"/>
      <c r="H14" s="15"/>
      <c r="I14" s="15"/>
      <c r="J14" s="15"/>
      <c r="K14" s="16"/>
    </row>
    <row r="15" spans="2:15" ht="16" thickBot="1"/>
    <row r="16" spans="2:15" ht="16" thickBot="1">
      <c r="G16" s="71"/>
      <c r="H16" s="72" t="s">
        <v>12</v>
      </c>
      <c r="I16" s="73"/>
      <c r="J16" s="74"/>
      <c r="L16" s="75"/>
      <c r="M16" s="76" t="s">
        <v>13</v>
      </c>
      <c r="N16" s="77"/>
      <c r="O16" s="78"/>
    </row>
    <row r="17" spans="2:15" ht="16" thickBot="1"/>
    <row r="18" spans="2:15">
      <c r="G18" s="39" t="s">
        <v>14</v>
      </c>
      <c r="H18" s="39" t="s">
        <v>15</v>
      </c>
      <c r="I18" s="39" t="s">
        <v>16</v>
      </c>
      <c r="J18" s="39" t="s">
        <v>17</v>
      </c>
      <c r="K18" s="40"/>
      <c r="L18" s="39" t="s">
        <v>14</v>
      </c>
      <c r="M18" s="39" t="s">
        <v>15</v>
      </c>
      <c r="N18" s="39" t="s">
        <v>16</v>
      </c>
      <c r="O18" s="39" t="s">
        <v>17</v>
      </c>
    </row>
    <row r="19" spans="2:15">
      <c r="G19" s="1"/>
      <c r="H19" s="1"/>
      <c r="I19" s="1"/>
      <c r="J19" s="1"/>
      <c r="L19" s="1"/>
      <c r="M19" s="1"/>
      <c r="N19" s="1"/>
      <c r="O19" s="1"/>
    </row>
    <row r="20" spans="2:15">
      <c r="B20" s="3">
        <v>1</v>
      </c>
      <c r="C20" s="11" t="s">
        <v>18</v>
      </c>
      <c r="D20" s="12"/>
      <c r="E20" s="13"/>
      <c r="G20" s="41">
        <v>1491</v>
      </c>
      <c r="H20" s="41">
        <v>1492.3</v>
      </c>
      <c r="I20" s="41">
        <v>1493</v>
      </c>
      <c r="J20" s="41">
        <v>994</v>
      </c>
      <c r="L20" s="57">
        <v>1035</v>
      </c>
      <c r="M20" s="57">
        <v>1035</v>
      </c>
      <c r="N20" s="57">
        <v>1035</v>
      </c>
      <c r="O20" s="57">
        <v>1035</v>
      </c>
    </row>
    <row r="21" spans="2:15">
      <c r="B21" s="17"/>
      <c r="C21" s="14"/>
      <c r="D21" s="15"/>
      <c r="E21" s="16"/>
      <c r="G21" s="42"/>
      <c r="H21" s="42"/>
      <c r="I21" s="42"/>
      <c r="J21" s="42"/>
      <c r="L21" s="58" t="s">
        <v>19</v>
      </c>
      <c r="M21" s="58" t="s">
        <v>19</v>
      </c>
      <c r="N21" s="58" t="s">
        <v>19</v>
      </c>
      <c r="O21" s="58" t="s">
        <v>19</v>
      </c>
    </row>
    <row r="22" spans="2:15">
      <c r="B22" s="3">
        <v>2</v>
      </c>
      <c r="C22" s="11" t="s">
        <v>20</v>
      </c>
      <c r="D22" s="12"/>
      <c r="E22" s="13"/>
      <c r="G22" s="41">
        <v>62236</v>
      </c>
      <c r="H22" s="41">
        <v>70964</v>
      </c>
      <c r="I22" s="41">
        <v>81967</v>
      </c>
      <c r="J22" s="41">
        <v>95646</v>
      </c>
      <c r="L22" s="59">
        <v>76010</v>
      </c>
      <c r="M22" s="59">
        <v>84874</v>
      </c>
      <c r="N22" s="59">
        <v>97187</v>
      </c>
      <c r="O22" s="59">
        <v>111188</v>
      </c>
    </row>
    <row r="23" spans="2:15">
      <c r="B23" s="17"/>
      <c r="C23" s="14"/>
      <c r="D23" s="15"/>
      <c r="E23" s="16"/>
      <c r="G23" s="42"/>
      <c r="H23" s="42"/>
      <c r="I23" s="42"/>
      <c r="J23" s="42"/>
      <c r="L23" s="58" t="s">
        <v>19</v>
      </c>
      <c r="M23" s="58" t="s">
        <v>19</v>
      </c>
      <c r="N23" s="58" t="s">
        <v>19</v>
      </c>
      <c r="O23" s="58" t="s">
        <v>19</v>
      </c>
    </row>
    <row r="24" spans="2:15">
      <c r="B24" s="3">
        <v>3</v>
      </c>
      <c r="C24" s="5" t="s">
        <v>21</v>
      </c>
      <c r="D24" s="12"/>
      <c r="E24" s="13"/>
      <c r="G24" s="41">
        <v>280100</v>
      </c>
      <c r="H24" s="41">
        <v>311684</v>
      </c>
      <c r="I24" s="43">
        <v>363096</v>
      </c>
      <c r="J24" s="43">
        <v>448954</v>
      </c>
      <c r="L24" s="59">
        <v>966996</v>
      </c>
      <c r="M24" s="59">
        <v>1045938</v>
      </c>
      <c r="N24" s="59">
        <v>1203687</v>
      </c>
      <c r="O24" s="59">
        <v>1326957</v>
      </c>
    </row>
    <row r="25" spans="2:15">
      <c r="B25" s="17"/>
      <c r="C25" s="14"/>
      <c r="D25" s="15"/>
      <c r="E25" s="16"/>
      <c r="G25" s="42"/>
      <c r="H25" s="42"/>
      <c r="I25" s="43"/>
      <c r="J25" s="43"/>
      <c r="L25" s="59" t="s">
        <v>19</v>
      </c>
      <c r="M25" s="65" t="s">
        <v>19</v>
      </c>
      <c r="N25" s="59" t="s">
        <v>19</v>
      </c>
      <c r="O25" s="59" t="s">
        <v>19</v>
      </c>
    </row>
    <row r="26" spans="2:15">
      <c r="B26" s="3">
        <v>4</v>
      </c>
      <c r="C26" s="5" t="s">
        <v>22</v>
      </c>
      <c r="D26" s="6"/>
      <c r="E26" s="7"/>
      <c r="F26" s="4"/>
      <c r="G26" s="43">
        <v>223689</v>
      </c>
      <c r="H26" s="43">
        <v>271254</v>
      </c>
      <c r="I26" s="41">
        <v>319861</v>
      </c>
      <c r="J26" s="41">
        <v>376075</v>
      </c>
      <c r="L26" s="57">
        <v>706300</v>
      </c>
      <c r="M26" s="59">
        <v>777155</v>
      </c>
      <c r="N26" s="57">
        <v>940998</v>
      </c>
      <c r="O26" s="57">
        <v>1065781</v>
      </c>
    </row>
    <row r="27" spans="2:15">
      <c r="B27" s="17"/>
      <c r="C27" s="8"/>
      <c r="D27" s="9"/>
      <c r="E27" s="10"/>
      <c r="F27" s="4"/>
      <c r="G27" s="51">
        <f>G26/G30</f>
        <v>0.58329965135896988</v>
      </c>
      <c r="H27" s="42"/>
      <c r="I27" s="42"/>
      <c r="J27" s="42"/>
      <c r="L27" s="58" t="s">
        <v>19</v>
      </c>
      <c r="M27" s="58" t="s">
        <v>19</v>
      </c>
      <c r="N27" s="58" t="s">
        <v>19</v>
      </c>
      <c r="O27" s="58" t="s">
        <v>19</v>
      </c>
    </row>
    <row r="28" spans="2:15">
      <c r="B28" s="3">
        <v>5</v>
      </c>
      <c r="C28" s="5" t="s">
        <v>23</v>
      </c>
      <c r="D28" s="6"/>
      <c r="E28" s="7"/>
      <c r="F28" s="4"/>
      <c r="G28" s="43">
        <v>105099</v>
      </c>
      <c r="H28" s="41">
        <v>100580.2</v>
      </c>
      <c r="I28" s="41">
        <v>121404</v>
      </c>
      <c r="J28" s="41">
        <v>155404</v>
      </c>
      <c r="L28" s="59">
        <v>261220</v>
      </c>
      <c r="M28" s="59">
        <v>315795</v>
      </c>
      <c r="N28" s="59">
        <v>362485</v>
      </c>
      <c r="O28" s="59">
        <v>369816</v>
      </c>
    </row>
    <row r="29" spans="2:15">
      <c r="B29" s="17"/>
      <c r="C29" s="8"/>
      <c r="D29" s="9"/>
      <c r="E29" s="10"/>
      <c r="F29" s="4"/>
      <c r="G29" s="51">
        <f>G28/G30</f>
        <v>0.27406001215158715</v>
      </c>
      <c r="H29" s="42"/>
      <c r="I29" s="42"/>
      <c r="J29" s="42"/>
      <c r="L29" s="58" t="s">
        <v>19</v>
      </c>
      <c r="M29" s="58" t="s">
        <v>19</v>
      </c>
      <c r="N29" s="58" t="s">
        <v>19</v>
      </c>
      <c r="O29" s="58" t="s">
        <v>19</v>
      </c>
    </row>
    <row r="30" spans="2:15">
      <c r="B30" s="3">
        <v>6</v>
      </c>
      <c r="C30" s="5" t="s">
        <v>24</v>
      </c>
      <c r="D30" s="6"/>
      <c r="E30" s="7"/>
      <c r="F30" s="4"/>
      <c r="G30" s="43">
        <v>383489</v>
      </c>
      <c r="H30" s="41">
        <v>429428.4</v>
      </c>
      <c r="I30" s="41">
        <v>489862</v>
      </c>
      <c r="J30" s="41">
        <v>600357</v>
      </c>
      <c r="L30" s="59">
        <v>1155364</v>
      </c>
      <c r="M30" s="59">
        <v>1277999</v>
      </c>
      <c r="N30" s="59">
        <v>1458561</v>
      </c>
      <c r="O30" s="59">
        <v>1585797</v>
      </c>
    </row>
    <row r="31" spans="2:15">
      <c r="B31" s="17"/>
      <c r="C31" s="8"/>
      <c r="D31" s="9"/>
      <c r="E31" s="10"/>
      <c r="F31" s="4"/>
      <c r="G31" s="42"/>
      <c r="H31" s="42"/>
      <c r="I31" s="42"/>
      <c r="J31" s="42"/>
      <c r="L31" s="58" t="s">
        <v>19</v>
      </c>
      <c r="M31" s="58" t="s">
        <v>19</v>
      </c>
      <c r="N31" s="58" t="s">
        <v>19</v>
      </c>
      <c r="O31" s="58" t="s">
        <v>19</v>
      </c>
    </row>
    <row r="32" spans="2:15">
      <c r="B32" s="3">
        <v>7</v>
      </c>
      <c r="C32" s="5" t="s">
        <v>25</v>
      </c>
      <c r="D32" s="6"/>
      <c r="E32" s="7"/>
      <c r="F32" s="4"/>
      <c r="G32" s="41">
        <v>193107</v>
      </c>
      <c r="H32" s="41">
        <v>266611</v>
      </c>
      <c r="I32" s="41">
        <v>455694</v>
      </c>
      <c r="J32" s="41">
        <v>717281</v>
      </c>
      <c r="L32" s="59">
        <v>395655</v>
      </c>
      <c r="M32" s="59">
        <v>399234</v>
      </c>
      <c r="N32" s="59">
        <v>577753</v>
      </c>
      <c r="O32" s="59">
        <v>576809</v>
      </c>
    </row>
    <row r="33" spans="2:15">
      <c r="B33" s="2"/>
      <c r="C33" s="8"/>
      <c r="D33" s="9"/>
      <c r="E33" s="10"/>
      <c r="F33" s="4"/>
      <c r="G33" s="44"/>
      <c r="H33" s="44"/>
      <c r="I33" s="45"/>
      <c r="J33" s="46"/>
      <c r="L33" s="61" t="s">
        <v>19</v>
      </c>
      <c r="M33" s="61" t="s">
        <v>19</v>
      </c>
      <c r="N33" s="67" t="s">
        <v>19</v>
      </c>
      <c r="O33" s="70" t="s">
        <v>19</v>
      </c>
    </row>
    <row r="34" spans="2:15">
      <c r="G34" s="47"/>
      <c r="H34" s="47"/>
      <c r="I34" s="47"/>
      <c r="J34" s="47"/>
      <c r="L34" s="62"/>
      <c r="M34" s="62"/>
      <c r="N34" s="62"/>
      <c r="O34" s="62"/>
    </row>
    <row r="35" spans="2:15">
      <c r="B35" s="22">
        <v>8</v>
      </c>
      <c r="C35" s="5" t="s">
        <v>26</v>
      </c>
      <c r="D35" s="6"/>
      <c r="E35" s="7"/>
      <c r="F35" s="4"/>
      <c r="G35" s="41">
        <v>26840</v>
      </c>
      <c r="H35" s="41">
        <v>27039</v>
      </c>
      <c r="I35" s="41">
        <v>34251</v>
      </c>
      <c r="J35" s="41">
        <v>45799</v>
      </c>
      <c r="L35" s="57">
        <v>70495</v>
      </c>
      <c r="M35" s="57">
        <v>69880</v>
      </c>
      <c r="N35" s="57">
        <v>89588</v>
      </c>
      <c r="O35" s="57">
        <v>112605</v>
      </c>
    </row>
    <row r="36" spans="2:15">
      <c r="B36" s="23"/>
      <c r="C36" s="8"/>
      <c r="D36" s="9"/>
      <c r="E36" s="10"/>
      <c r="F36" s="4"/>
      <c r="G36" s="42"/>
      <c r="H36" s="42"/>
      <c r="I36" s="42"/>
      <c r="J36" s="42"/>
      <c r="L36" s="58" t="s">
        <v>19</v>
      </c>
      <c r="M36" s="58" t="s">
        <v>19</v>
      </c>
      <c r="N36" s="58" t="s">
        <v>19</v>
      </c>
      <c r="O36" s="58" t="s">
        <v>19</v>
      </c>
    </row>
    <row r="37" spans="2:15">
      <c r="B37" s="22">
        <v>9</v>
      </c>
      <c r="C37" s="5" t="s">
        <v>27</v>
      </c>
      <c r="D37" s="6"/>
      <c r="E37" s="7"/>
      <c r="F37" s="4"/>
      <c r="G37" s="41">
        <v>5459</v>
      </c>
      <c r="H37" s="41">
        <v>6354.3</v>
      </c>
      <c r="I37" s="41">
        <v>7083</v>
      </c>
      <c r="J37" s="41">
        <v>10273</v>
      </c>
      <c r="L37" s="59">
        <v>12933</v>
      </c>
      <c r="M37" s="59">
        <v>11483</v>
      </c>
      <c r="N37" s="59">
        <v>10025</v>
      </c>
      <c r="O37" s="59">
        <v>14495</v>
      </c>
    </row>
    <row r="38" spans="2:15">
      <c r="B38" s="23"/>
      <c r="C38" s="8"/>
      <c r="D38" s="9"/>
      <c r="E38" s="10"/>
      <c r="F38" s="4"/>
      <c r="G38" s="42"/>
      <c r="H38" s="42"/>
      <c r="I38" s="42"/>
      <c r="J38" s="42"/>
      <c r="L38" s="58" t="s">
        <v>19</v>
      </c>
      <c r="M38" s="58" t="s">
        <v>19</v>
      </c>
      <c r="N38" s="58" t="s">
        <v>19</v>
      </c>
      <c r="O38" s="58" t="s">
        <v>19</v>
      </c>
    </row>
    <row r="39" spans="2:15">
      <c r="B39" s="22">
        <v>10</v>
      </c>
      <c r="C39" s="5" t="s">
        <v>28</v>
      </c>
      <c r="D39" s="6"/>
      <c r="E39" s="7"/>
      <c r="F39" s="4"/>
      <c r="G39" s="41">
        <v>11501</v>
      </c>
      <c r="H39" s="41">
        <v>10221</v>
      </c>
      <c r="I39" s="41">
        <v>12699</v>
      </c>
      <c r="J39" s="41">
        <v>19806</v>
      </c>
      <c r="L39" s="59">
        <v>41686</v>
      </c>
      <c r="M39" s="59">
        <v>37259</v>
      </c>
      <c r="N39" s="59">
        <v>48232</v>
      </c>
      <c r="O39" s="59">
        <v>67884</v>
      </c>
    </row>
    <row r="40" spans="2:15">
      <c r="B40" s="23"/>
      <c r="C40" s="8"/>
      <c r="D40" s="9"/>
      <c r="E40" s="10"/>
      <c r="F40" s="4"/>
      <c r="G40" s="42"/>
      <c r="H40" s="42"/>
      <c r="I40" s="42"/>
      <c r="J40" s="42"/>
      <c r="L40" s="58" t="s">
        <v>19</v>
      </c>
      <c r="M40" s="58" t="s">
        <v>19</v>
      </c>
      <c r="N40" s="58" t="s">
        <v>19</v>
      </c>
      <c r="O40" s="58" t="s">
        <v>19</v>
      </c>
    </row>
    <row r="41" spans="2:15">
      <c r="B41" s="22">
        <v>11</v>
      </c>
      <c r="C41" s="5" t="s">
        <v>29</v>
      </c>
      <c r="D41" s="6"/>
      <c r="E41" s="7"/>
      <c r="F41" s="4"/>
      <c r="G41" s="41">
        <v>8584</v>
      </c>
      <c r="H41" s="41">
        <v>11121.3</v>
      </c>
      <c r="I41" s="41">
        <v>13787</v>
      </c>
      <c r="J41" s="41">
        <v>16679</v>
      </c>
      <c r="L41" s="59">
        <v>20543</v>
      </c>
      <c r="M41" s="59">
        <v>21716</v>
      </c>
      <c r="N41" s="59">
        <v>24518</v>
      </c>
      <c r="O41" s="59">
        <v>28251</v>
      </c>
    </row>
    <row r="42" spans="2:15">
      <c r="B42" s="23"/>
      <c r="C42" s="8"/>
      <c r="D42" s="9"/>
      <c r="E42" s="10"/>
      <c r="F42" s="4"/>
      <c r="G42" s="42"/>
      <c r="H42" s="42"/>
      <c r="I42" s="42"/>
      <c r="J42" s="42"/>
      <c r="L42" s="58" t="s">
        <v>19</v>
      </c>
      <c r="M42" s="58" t="s">
        <v>19</v>
      </c>
      <c r="N42" s="58" t="s">
        <v>19</v>
      </c>
      <c r="O42" s="58" t="s">
        <v>19</v>
      </c>
    </row>
    <row r="43" spans="2:15">
      <c r="B43" s="22">
        <v>12</v>
      </c>
      <c r="C43" s="5" t="s">
        <v>30</v>
      </c>
      <c r="D43" s="6"/>
      <c r="E43" s="7"/>
      <c r="F43" s="4"/>
      <c r="G43" s="41">
        <v>5250</v>
      </c>
      <c r="H43" s="41">
        <v>3478.2</v>
      </c>
      <c r="I43" s="41">
        <v>3909</v>
      </c>
      <c r="J43" s="41">
        <v>5806</v>
      </c>
      <c r="L43" s="59">
        <v>20370</v>
      </c>
      <c r="M43" s="59">
        <v>15116</v>
      </c>
      <c r="N43" s="59">
        <v>12753</v>
      </c>
      <c r="O43" s="59">
        <v>13176</v>
      </c>
    </row>
    <row r="44" spans="2:15">
      <c r="B44" s="23"/>
      <c r="C44" s="8"/>
      <c r="D44" s="9"/>
      <c r="E44" s="10"/>
      <c r="F44" s="4"/>
      <c r="G44" s="42"/>
      <c r="H44" s="42"/>
      <c r="I44" s="42"/>
      <c r="J44" s="42"/>
      <c r="L44" s="58" t="s">
        <v>19</v>
      </c>
      <c r="M44" s="58" t="s">
        <v>19</v>
      </c>
      <c r="N44" s="58" t="s">
        <v>19</v>
      </c>
      <c r="O44" s="58" t="s">
        <v>19</v>
      </c>
    </row>
    <row r="45" spans="2:15">
      <c r="B45" s="22">
        <v>13</v>
      </c>
      <c r="C45" s="5" t="s">
        <v>31</v>
      </c>
      <c r="D45" s="6"/>
      <c r="E45" s="7"/>
      <c r="F45" s="4"/>
      <c r="G45" s="41">
        <f>G35+G37-G39-G41-G43</f>
        <v>6964</v>
      </c>
      <c r="H45" s="41">
        <f>H35+H37-H39-H41-H43</f>
        <v>8572.8000000000029</v>
      </c>
      <c r="I45" s="41">
        <v>10939</v>
      </c>
      <c r="J45" s="41">
        <v>13782</v>
      </c>
      <c r="L45" s="59">
        <v>828</v>
      </c>
      <c r="M45" s="59">
        <v>7272</v>
      </c>
      <c r="N45" s="59">
        <v>14110</v>
      </c>
      <c r="O45" s="59">
        <v>17789</v>
      </c>
    </row>
    <row r="46" spans="2:15">
      <c r="B46" s="23"/>
      <c r="C46" s="8"/>
      <c r="D46" s="9"/>
      <c r="E46" s="10"/>
      <c r="F46" s="4"/>
      <c r="G46" s="42"/>
      <c r="H46" s="42"/>
      <c r="I46" s="42"/>
      <c r="J46" s="42"/>
      <c r="L46" s="58" t="s">
        <v>19</v>
      </c>
      <c r="M46" s="58" t="s">
        <v>19</v>
      </c>
      <c r="N46" s="58" t="s">
        <v>19</v>
      </c>
      <c r="O46" s="58" t="s">
        <v>19</v>
      </c>
    </row>
    <row r="47" spans="2:15">
      <c r="B47" s="22">
        <v>14</v>
      </c>
      <c r="C47" s="5" t="s">
        <v>32</v>
      </c>
      <c r="D47" s="6"/>
      <c r="E47" s="7"/>
      <c r="F47" s="4"/>
      <c r="G47" s="41">
        <v>20512</v>
      </c>
      <c r="H47" s="41">
        <v>24749.7</v>
      </c>
      <c r="I47" s="41">
        <v>30456</v>
      </c>
      <c r="J47" s="41">
        <v>37760</v>
      </c>
      <c r="L47" s="59">
        <v>0</v>
      </c>
      <c r="M47" s="59">
        <v>0</v>
      </c>
      <c r="N47" s="59">
        <v>0</v>
      </c>
      <c r="O47" s="59">
        <v>0</v>
      </c>
    </row>
    <row r="48" spans="2:15">
      <c r="B48" s="23"/>
      <c r="C48" s="8"/>
      <c r="D48" s="9"/>
      <c r="E48" s="10"/>
      <c r="F48" s="4"/>
      <c r="G48" s="42"/>
      <c r="H48" s="42"/>
      <c r="I48" s="42"/>
      <c r="J48" s="42"/>
      <c r="L48" s="58" t="s">
        <v>19</v>
      </c>
      <c r="M48" s="58" t="s">
        <v>19</v>
      </c>
      <c r="N48" s="58" t="s">
        <v>19</v>
      </c>
      <c r="O48" s="58" t="s">
        <v>19</v>
      </c>
    </row>
    <row r="49" spans="2:15">
      <c r="B49" s="22">
        <v>15</v>
      </c>
      <c r="C49" s="5" t="s">
        <v>33</v>
      </c>
      <c r="D49" s="6"/>
      <c r="E49" s="7"/>
      <c r="F49" s="4"/>
      <c r="G49" s="41">
        <f>G45+G47</f>
        <v>27476</v>
      </c>
      <c r="H49" s="41">
        <f>H45+H47</f>
        <v>33322.5</v>
      </c>
      <c r="I49" s="41">
        <v>37760</v>
      </c>
      <c r="J49" s="48">
        <v>45103</v>
      </c>
      <c r="L49" s="59">
        <v>828</v>
      </c>
      <c r="M49" s="59">
        <v>7272</v>
      </c>
      <c r="N49" s="59">
        <v>14109</v>
      </c>
      <c r="O49" s="59">
        <v>17788</v>
      </c>
    </row>
    <row r="50" spans="2:15">
      <c r="B50" s="23"/>
      <c r="C50" s="8"/>
      <c r="D50" s="9"/>
      <c r="E50" s="10"/>
      <c r="F50" s="4"/>
      <c r="G50" s="42"/>
      <c r="H50" s="42"/>
      <c r="I50" s="42"/>
      <c r="J50" s="46"/>
      <c r="L50" s="58" t="s">
        <v>19</v>
      </c>
      <c r="M50" s="58" t="s">
        <v>19</v>
      </c>
      <c r="N50" s="67" t="s">
        <v>19</v>
      </c>
      <c r="O50" s="58" t="s">
        <v>19</v>
      </c>
    </row>
    <row r="51" spans="2:15">
      <c r="B51" s="24"/>
      <c r="C51" s="4"/>
      <c r="D51" s="4"/>
      <c r="E51" s="4"/>
      <c r="F51" s="4"/>
      <c r="G51" s="47"/>
      <c r="H51" s="47"/>
      <c r="I51" s="47"/>
      <c r="J51" s="47"/>
      <c r="L51" s="62"/>
      <c r="M51" s="62"/>
      <c r="N51" s="62"/>
      <c r="O51" s="62"/>
    </row>
    <row r="52" spans="2:15">
      <c r="B52" s="24"/>
      <c r="C52" s="4"/>
      <c r="D52" s="4"/>
      <c r="E52" s="4"/>
      <c r="F52" s="4"/>
      <c r="G52" s="47"/>
      <c r="H52" s="47"/>
      <c r="I52" s="47"/>
      <c r="J52" s="47"/>
      <c r="L52" s="62"/>
      <c r="M52" s="62"/>
      <c r="N52" s="62"/>
      <c r="O52" s="62"/>
    </row>
    <row r="53" spans="2:15">
      <c r="B53" s="22">
        <v>16</v>
      </c>
      <c r="C53" s="5" t="s">
        <v>34</v>
      </c>
      <c r="D53" s="6"/>
      <c r="E53" s="7"/>
      <c r="F53" s="4"/>
      <c r="G53" s="55">
        <v>58992.3</v>
      </c>
      <c r="H53" s="55">
        <v>66920.009999999995</v>
      </c>
      <c r="I53" s="41">
        <v>77036</v>
      </c>
      <c r="J53" s="41">
        <v>87991</v>
      </c>
      <c r="L53" s="57">
        <v>67944</v>
      </c>
      <c r="M53" s="57">
        <v>71861</v>
      </c>
      <c r="N53" s="68">
        <v>85361</v>
      </c>
      <c r="O53" s="68">
        <v>99650</v>
      </c>
    </row>
    <row r="54" spans="2:15">
      <c r="B54" s="23"/>
      <c r="C54" s="8"/>
      <c r="D54" s="9"/>
      <c r="E54" s="10"/>
      <c r="F54" s="4"/>
      <c r="G54" s="54"/>
      <c r="H54" s="42"/>
      <c r="I54" s="42"/>
      <c r="J54" s="42"/>
      <c r="L54" s="63">
        <v>0.12670000000000001</v>
      </c>
      <c r="M54" s="63">
        <v>0.1318</v>
      </c>
      <c r="N54" s="58" t="s">
        <v>19</v>
      </c>
      <c r="O54" s="58" t="s">
        <v>19</v>
      </c>
    </row>
    <row r="55" spans="2:15">
      <c r="B55" s="22">
        <v>17</v>
      </c>
      <c r="C55" s="5" t="s">
        <v>35</v>
      </c>
      <c r="D55" s="6"/>
      <c r="E55" s="7"/>
      <c r="F55" s="4"/>
      <c r="G55" s="55">
        <v>500</v>
      </c>
      <c r="H55" s="41">
        <v>500</v>
      </c>
      <c r="I55" s="41">
        <v>500</v>
      </c>
      <c r="J55" s="41">
        <v>0</v>
      </c>
      <c r="L55" s="59">
        <v>10716</v>
      </c>
      <c r="M55" s="59">
        <v>11087</v>
      </c>
      <c r="N55" s="69">
        <v>12221</v>
      </c>
      <c r="O55" s="69">
        <v>12115</v>
      </c>
    </row>
    <row r="56" spans="2:15">
      <c r="B56" s="23"/>
      <c r="C56" s="8"/>
      <c r="D56" s="9"/>
      <c r="E56" s="10"/>
      <c r="F56" s="4"/>
      <c r="G56" s="54"/>
      <c r="H56" s="42"/>
      <c r="I56" s="42"/>
      <c r="J56" s="42"/>
      <c r="L56" s="58" t="s">
        <v>19</v>
      </c>
      <c r="M56" s="58" t="s">
        <v>19</v>
      </c>
      <c r="N56" s="58" t="s">
        <v>19</v>
      </c>
      <c r="O56" s="58" t="s">
        <v>19</v>
      </c>
    </row>
    <row r="57" spans="2:15">
      <c r="B57" s="22">
        <v>18</v>
      </c>
      <c r="C57" s="5" t="s">
        <v>36</v>
      </c>
      <c r="D57" s="6"/>
      <c r="E57" s="7"/>
      <c r="F57" s="4"/>
      <c r="G57" s="41">
        <v>0</v>
      </c>
      <c r="H57" s="41">
        <v>0</v>
      </c>
      <c r="I57" s="41">
        <v>0</v>
      </c>
      <c r="J57" s="41">
        <v>0</v>
      </c>
      <c r="L57" s="59">
        <v>0</v>
      </c>
      <c r="M57" s="59">
        <v>0</v>
      </c>
      <c r="N57" s="59">
        <v>0</v>
      </c>
      <c r="O57" s="59">
        <v>0</v>
      </c>
    </row>
    <row r="58" spans="2:15">
      <c r="B58" s="23"/>
      <c r="C58" s="8" t="s">
        <v>37</v>
      </c>
      <c r="D58" s="9"/>
      <c r="E58" s="10"/>
      <c r="F58" s="4"/>
      <c r="G58" s="42"/>
      <c r="H58" s="42"/>
      <c r="I58" s="42"/>
      <c r="J58" s="42"/>
      <c r="L58" s="58" t="s">
        <v>19</v>
      </c>
      <c r="M58" s="58" t="s">
        <v>19</v>
      </c>
      <c r="N58" s="58" t="s">
        <v>19</v>
      </c>
      <c r="O58" s="58" t="s">
        <v>19</v>
      </c>
    </row>
    <row r="59" spans="2:15">
      <c r="B59" s="22">
        <v>19</v>
      </c>
      <c r="C59" s="5" t="s">
        <v>38</v>
      </c>
      <c r="D59" s="6"/>
      <c r="E59" s="7"/>
      <c r="F59" s="4"/>
      <c r="G59" s="55">
        <f>G53+G55</f>
        <v>59492.3</v>
      </c>
      <c r="H59" s="55">
        <f>H53+H55</f>
        <v>67420.009999999995</v>
      </c>
      <c r="I59" s="41">
        <v>77536</v>
      </c>
      <c r="J59" s="41">
        <v>87991</v>
      </c>
      <c r="L59" s="59">
        <v>78660</v>
      </c>
      <c r="M59" s="59">
        <v>82948</v>
      </c>
      <c r="N59" s="59">
        <v>97582</v>
      </c>
      <c r="O59" s="59">
        <v>111765</v>
      </c>
    </row>
    <row r="60" spans="2:15">
      <c r="B60" s="23"/>
      <c r="C60" s="8"/>
      <c r="D60" s="9"/>
      <c r="E60" s="10"/>
      <c r="F60" s="4"/>
      <c r="G60" s="53"/>
      <c r="H60" s="42"/>
      <c r="I60" s="42"/>
      <c r="J60" s="42"/>
      <c r="L60" s="58" t="s">
        <v>19</v>
      </c>
      <c r="M60" s="58" t="s">
        <v>19</v>
      </c>
      <c r="N60" s="58" t="s">
        <v>19</v>
      </c>
      <c r="O60" s="58" t="s">
        <v>19</v>
      </c>
    </row>
    <row r="61" spans="2:15">
      <c r="B61" s="22">
        <v>20</v>
      </c>
      <c r="C61" s="5" t="s">
        <v>39</v>
      </c>
      <c r="D61" s="6"/>
      <c r="E61" s="7"/>
      <c r="F61" s="4"/>
      <c r="G61" s="41">
        <v>456</v>
      </c>
      <c r="H61" s="41">
        <v>306</v>
      </c>
      <c r="I61" s="41">
        <v>0</v>
      </c>
      <c r="J61" s="41">
        <v>0</v>
      </c>
      <c r="L61" s="59" t="s">
        <v>40</v>
      </c>
      <c r="M61" s="59" t="s">
        <v>40</v>
      </c>
      <c r="N61" s="60" t="s">
        <v>40</v>
      </c>
      <c r="O61" s="60" t="s">
        <v>40</v>
      </c>
    </row>
    <row r="62" spans="2:15">
      <c r="B62" s="23"/>
      <c r="C62" s="8"/>
      <c r="D62" s="9"/>
      <c r="E62" s="10"/>
      <c r="F62" s="4"/>
      <c r="G62" s="42"/>
      <c r="H62" s="42"/>
      <c r="I62" s="42"/>
      <c r="J62" s="42"/>
      <c r="L62" s="58" t="s">
        <v>19</v>
      </c>
      <c r="M62" s="58" t="s">
        <v>19</v>
      </c>
      <c r="N62" s="58" t="s">
        <v>19</v>
      </c>
      <c r="O62" s="58" t="s">
        <v>19</v>
      </c>
    </row>
    <row r="63" spans="2:15">
      <c r="B63" s="25">
        <v>21</v>
      </c>
      <c r="C63" s="18" t="s">
        <v>41</v>
      </c>
      <c r="D63" s="4"/>
      <c r="E63" s="19"/>
      <c r="F63" s="4"/>
      <c r="G63" s="55">
        <f>G67-G61</f>
        <v>1985.02</v>
      </c>
      <c r="H63" s="55">
        <f>H67-H61</f>
        <v>2861.44</v>
      </c>
      <c r="I63" s="41">
        <v>3817</v>
      </c>
      <c r="J63" s="41">
        <v>5957</v>
      </c>
      <c r="L63" s="59" t="s">
        <v>40</v>
      </c>
      <c r="M63" s="59" t="s">
        <v>40</v>
      </c>
      <c r="N63" s="60" t="s">
        <v>40</v>
      </c>
      <c r="O63" s="60" t="s">
        <v>40</v>
      </c>
    </row>
    <row r="64" spans="2:15">
      <c r="B64" s="25"/>
      <c r="C64" s="18"/>
      <c r="D64" s="4"/>
      <c r="E64" s="19"/>
      <c r="F64" s="4"/>
      <c r="G64" s="42"/>
      <c r="H64" s="42"/>
      <c r="I64" s="42"/>
      <c r="J64" s="42"/>
      <c r="L64" s="58" t="s">
        <v>19</v>
      </c>
      <c r="M64" s="58" t="s">
        <v>19</v>
      </c>
      <c r="N64" s="58" t="s">
        <v>19</v>
      </c>
      <c r="O64" s="58" t="s">
        <v>19</v>
      </c>
    </row>
    <row r="65" spans="2:18">
      <c r="B65" s="22">
        <v>22</v>
      </c>
      <c r="C65" s="5" t="s">
        <v>42</v>
      </c>
      <c r="D65" s="6"/>
      <c r="E65" s="7"/>
      <c r="F65" s="4"/>
      <c r="G65" s="41">
        <v>0</v>
      </c>
      <c r="H65" s="41">
        <v>0</v>
      </c>
      <c r="I65" s="41">
        <v>0</v>
      </c>
      <c r="J65" s="41">
        <v>0</v>
      </c>
      <c r="L65" s="59" t="s">
        <v>40</v>
      </c>
      <c r="M65" s="59" t="s">
        <v>40</v>
      </c>
      <c r="N65" s="60" t="s">
        <v>40</v>
      </c>
      <c r="O65" s="60" t="s">
        <v>40</v>
      </c>
    </row>
    <row r="66" spans="2:18">
      <c r="B66" s="23"/>
      <c r="C66" s="8" t="s">
        <v>37</v>
      </c>
      <c r="D66" s="9"/>
      <c r="E66" s="10"/>
      <c r="F66" s="4"/>
      <c r="G66" s="42"/>
      <c r="H66" s="42"/>
      <c r="I66" s="42"/>
      <c r="J66" s="42"/>
      <c r="L66" s="58" t="s">
        <v>19</v>
      </c>
      <c r="M66" s="58" t="s">
        <v>19</v>
      </c>
      <c r="N66" s="58" t="s">
        <v>19</v>
      </c>
      <c r="O66" s="58" t="s">
        <v>19</v>
      </c>
    </row>
    <row r="67" spans="2:18">
      <c r="B67" s="22">
        <v>23</v>
      </c>
      <c r="C67" s="5" t="s">
        <v>43</v>
      </c>
      <c r="D67" s="6"/>
      <c r="E67" s="7"/>
      <c r="F67" s="4"/>
      <c r="G67" s="55">
        <v>2441.02</v>
      </c>
      <c r="H67" s="55">
        <v>3167.44</v>
      </c>
      <c r="I67" s="41">
        <v>3817</v>
      </c>
      <c r="J67" s="41">
        <v>5957</v>
      </c>
      <c r="L67" s="59">
        <v>14390</v>
      </c>
      <c r="M67" s="59">
        <v>15764</v>
      </c>
      <c r="N67" s="69">
        <v>15691</v>
      </c>
      <c r="O67" s="69">
        <v>17832</v>
      </c>
    </row>
    <row r="68" spans="2:18">
      <c r="B68" s="23"/>
      <c r="C68" s="8"/>
      <c r="D68" s="9"/>
      <c r="E68" s="10"/>
      <c r="F68" s="4"/>
      <c r="G68" s="42"/>
      <c r="H68" s="42"/>
      <c r="I68" s="42"/>
      <c r="J68" s="42"/>
      <c r="L68" s="58" t="s">
        <v>19</v>
      </c>
      <c r="M68" s="58" t="s">
        <v>19</v>
      </c>
      <c r="N68" s="58" t="s">
        <v>19</v>
      </c>
      <c r="O68" s="58" t="s">
        <v>19</v>
      </c>
    </row>
    <row r="69" spans="2:18">
      <c r="B69" s="22">
        <v>24</v>
      </c>
      <c r="C69" s="5" t="s">
        <v>44</v>
      </c>
      <c r="D69" s="6"/>
      <c r="E69" s="7"/>
      <c r="F69" s="4"/>
      <c r="G69" s="55">
        <v>278198.28999999998</v>
      </c>
      <c r="H69" s="55">
        <v>311055.3</v>
      </c>
      <c r="I69">
        <v>373170</v>
      </c>
      <c r="J69" s="41">
        <v>457206</v>
      </c>
      <c r="L69" s="59">
        <v>620908</v>
      </c>
      <c r="M69" s="59">
        <v>629502</v>
      </c>
      <c r="N69" s="69">
        <v>697482</v>
      </c>
      <c r="O69" s="69">
        <v>794612</v>
      </c>
    </row>
    <row r="70" spans="2:18">
      <c r="B70" s="23"/>
      <c r="C70" s="8"/>
      <c r="D70" s="9"/>
      <c r="E70" s="10"/>
      <c r="F70" s="4"/>
      <c r="G70" s="42"/>
      <c r="H70" s="42"/>
      <c r="I70" s="42"/>
      <c r="J70" s="42"/>
      <c r="L70" s="58" t="s">
        <v>19</v>
      </c>
      <c r="M70" s="58" t="s">
        <v>19</v>
      </c>
      <c r="N70" s="58" t="s">
        <v>19</v>
      </c>
      <c r="O70" s="58" t="s">
        <v>19</v>
      </c>
    </row>
    <row r="71" spans="2:18">
      <c r="B71" s="22">
        <v>25</v>
      </c>
      <c r="C71" s="5" t="s">
        <v>45</v>
      </c>
      <c r="D71" s="6"/>
      <c r="E71" s="7"/>
      <c r="F71" s="4"/>
      <c r="G71" s="66">
        <f>(G53+G67)/G69</f>
        <v>0.22082565640500523</v>
      </c>
      <c r="H71" s="66">
        <f>(H53+H67)/H69</f>
        <v>0.22532151035523265</v>
      </c>
      <c r="I71" s="66">
        <f>(I53+I67)/I69</f>
        <v>0.21666532679475842</v>
      </c>
      <c r="J71" s="66">
        <f t="shared" ref="J71" si="0">(J53+J67)/J69</f>
        <v>0.20548286767890186</v>
      </c>
      <c r="L71" s="60" t="s">
        <v>40</v>
      </c>
      <c r="M71" s="60" t="s">
        <v>40</v>
      </c>
      <c r="N71" s="60" t="s">
        <v>40</v>
      </c>
      <c r="O71" s="60" t="s">
        <v>40</v>
      </c>
      <c r="R71" s="56"/>
    </row>
    <row r="72" spans="2:18">
      <c r="B72" s="23"/>
      <c r="C72" s="8"/>
      <c r="D72" s="9"/>
      <c r="E72" s="10"/>
      <c r="F72" s="4"/>
      <c r="G72" s="42"/>
      <c r="H72" s="42"/>
      <c r="I72" s="42"/>
      <c r="J72" s="42"/>
      <c r="L72" s="58" t="s">
        <v>19</v>
      </c>
      <c r="M72" s="58" t="s">
        <v>19</v>
      </c>
      <c r="N72" s="58" t="s">
        <v>19</v>
      </c>
      <c r="O72" s="58" t="s">
        <v>19</v>
      </c>
    </row>
    <row r="73" spans="2:18">
      <c r="B73" s="22">
        <v>26</v>
      </c>
      <c r="C73" s="5" t="s">
        <v>46</v>
      </c>
      <c r="D73" s="6"/>
      <c r="E73" s="7"/>
      <c r="F73" s="4"/>
      <c r="G73" s="66">
        <f>(G59+G67)/G69</f>
        <v>0.2226229356046725</v>
      </c>
      <c r="H73" s="66">
        <f>(H59+H67)/H69</f>
        <v>0.22692894157405452</v>
      </c>
      <c r="I73" s="66">
        <v>0.218</v>
      </c>
      <c r="J73" s="66">
        <v>0.20549999999999999</v>
      </c>
      <c r="L73" s="64">
        <v>0.14990000000000001</v>
      </c>
      <c r="M73" s="64">
        <v>0.15679999999999999</v>
      </c>
      <c r="N73" s="64">
        <v>0.16239999999999999</v>
      </c>
      <c r="O73" s="64">
        <v>0.16309999999999999</v>
      </c>
    </row>
    <row r="74" spans="2:18">
      <c r="B74" s="23"/>
      <c r="C74" s="8"/>
      <c r="D74" s="9"/>
      <c r="E74" s="10"/>
      <c r="F74" s="4"/>
      <c r="G74" s="42"/>
      <c r="H74" s="42"/>
      <c r="I74" s="42"/>
      <c r="J74" s="42"/>
      <c r="L74" s="58" t="s">
        <v>19</v>
      </c>
      <c r="M74" s="58" t="s">
        <v>19</v>
      </c>
      <c r="N74" s="58" t="s">
        <v>19</v>
      </c>
      <c r="O74" s="58" t="s">
        <v>19</v>
      </c>
    </row>
    <row r="75" spans="2:18">
      <c r="B75" s="22">
        <v>27</v>
      </c>
      <c r="C75" s="5" t="s">
        <v>47</v>
      </c>
      <c r="D75" s="6"/>
      <c r="E75" s="7"/>
      <c r="F75" s="4"/>
      <c r="G75" s="41">
        <v>2803</v>
      </c>
      <c r="H75" s="41">
        <v>3047.73</v>
      </c>
      <c r="I75" s="41">
        <v>2313.56</v>
      </c>
      <c r="J75" s="41">
        <v>3055.16</v>
      </c>
      <c r="L75" s="59">
        <v>12407</v>
      </c>
      <c r="M75" s="59">
        <v>14640</v>
      </c>
      <c r="N75" s="59">
        <v>4351</v>
      </c>
      <c r="O75" s="59">
        <v>6471</v>
      </c>
    </row>
    <row r="76" spans="2:18">
      <c r="B76" s="23"/>
      <c r="C76" s="8"/>
      <c r="D76" s="9"/>
      <c r="E76" s="10"/>
      <c r="F76" s="4"/>
      <c r="G76" s="42"/>
      <c r="H76" s="42"/>
      <c r="I76" s="42"/>
      <c r="J76" s="42"/>
      <c r="L76" s="58" t="s">
        <v>19</v>
      </c>
      <c r="M76" s="58" t="s">
        <v>19</v>
      </c>
      <c r="N76" s="58" t="s">
        <v>19</v>
      </c>
      <c r="O76" s="58" t="s">
        <v>19</v>
      </c>
    </row>
    <row r="77" spans="2:18">
      <c r="B77" s="22">
        <v>28</v>
      </c>
      <c r="C77" s="5" t="s">
        <v>48</v>
      </c>
      <c r="D77" s="6"/>
      <c r="E77" s="7"/>
      <c r="F77" s="4"/>
      <c r="G77" s="41">
        <v>235.38</v>
      </c>
      <c r="H77" s="41">
        <v>358.98</v>
      </c>
      <c r="I77" s="41">
        <v>93.39</v>
      </c>
      <c r="J77" s="41">
        <v>0</v>
      </c>
      <c r="L77" s="59">
        <v>14878</v>
      </c>
      <c r="M77" s="59">
        <v>17967</v>
      </c>
      <c r="N77" s="59">
        <v>17998</v>
      </c>
      <c r="O77" s="59">
        <v>10518</v>
      </c>
    </row>
    <row r="78" spans="2:18">
      <c r="B78" s="23"/>
      <c r="C78" s="8"/>
      <c r="D78" s="9"/>
      <c r="E78" s="10"/>
      <c r="F78" s="4"/>
      <c r="G78" s="42"/>
      <c r="H78" s="42"/>
      <c r="I78" s="42"/>
      <c r="J78" s="42"/>
      <c r="L78" s="58" t="s">
        <v>19</v>
      </c>
      <c r="M78" s="58" t="s">
        <v>19</v>
      </c>
      <c r="N78" s="58" t="s">
        <v>19</v>
      </c>
      <c r="O78" s="58" t="s">
        <v>19</v>
      </c>
    </row>
    <row r="79" spans="2:18">
      <c r="B79" s="22">
        <v>29</v>
      </c>
      <c r="C79" s="5" t="s">
        <v>49</v>
      </c>
      <c r="D79" s="6"/>
      <c r="E79" s="7"/>
      <c r="F79" s="4"/>
      <c r="G79" s="49">
        <v>3.3000000000000002E-2</v>
      </c>
      <c r="H79" s="66">
        <v>2.3400000000000001E-2</v>
      </c>
      <c r="I79" s="66">
        <v>1.7999999999999999E-2</v>
      </c>
      <c r="J79" s="66">
        <v>1.4E-2</v>
      </c>
      <c r="L79" s="64">
        <v>8.8700000000000001E-2</v>
      </c>
      <c r="M79" s="64">
        <v>6.6100000000000006E-2</v>
      </c>
      <c r="N79" s="64">
        <v>3.7900000000000003E-2</v>
      </c>
      <c r="O79" s="64">
        <v>2.92E-2</v>
      </c>
    </row>
    <row r="80" spans="2:18">
      <c r="B80" s="23"/>
      <c r="C80" s="8"/>
      <c r="D80" s="9"/>
      <c r="E80" s="10"/>
      <c r="F80" s="4"/>
      <c r="G80" s="42"/>
      <c r="H80" s="42"/>
      <c r="I80" s="42"/>
      <c r="J80" s="42"/>
      <c r="L80" s="58" t="s">
        <v>19</v>
      </c>
      <c r="M80" s="58" t="s">
        <v>19</v>
      </c>
      <c r="N80" s="58" t="s">
        <v>19</v>
      </c>
      <c r="O80" s="58" t="s">
        <v>19</v>
      </c>
    </row>
    <row r="81" spans="2:15">
      <c r="B81" s="22">
        <v>30</v>
      </c>
      <c r="C81" s="5" t="s">
        <v>50</v>
      </c>
      <c r="D81" s="6"/>
      <c r="E81" s="7"/>
      <c r="F81" s="4"/>
      <c r="G81" s="49">
        <v>1.2E-2</v>
      </c>
      <c r="H81" s="66">
        <v>6.4000000000000003E-3</v>
      </c>
      <c r="I81" s="66">
        <v>4.0000000000000001E-3</v>
      </c>
      <c r="J81" s="66">
        <v>3.0000000000000001E-3</v>
      </c>
      <c r="L81" s="64">
        <v>3.09E-2</v>
      </c>
      <c r="M81" s="64">
        <v>1.72E-2</v>
      </c>
      <c r="N81" s="64">
        <v>8.8999999999999999E-3</v>
      </c>
      <c r="O81" s="64">
        <v>6.7999999999999996E-3</v>
      </c>
    </row>
    <row r="82" spans="2:15">
      <c r="B82" s="23"/>
      <c r="C82" s="8"/>
      <c r="D82" s="9"/>
      <c r="E82" s="10"/>
      <c r="F82" s="4"/>
      <c r="G82" s="50"/>
      <c r="H82" s="42"/>
      <c r="I82" s="42"/>
      <c r="J82" s="42"/>
      <c r="L82" s="52"/>
      <c r="M82" s="52"/>
      <c r="N82" s="52"/>
      <c r="O82" s="52"/>
    </row>
    <row r="83" spans="2:15">
      <c r="F83" s="4"/>
    </row>
    <row r="84" spans="2:15" ht="21">
      <c r="B84" s="3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FC22E1BF147E428F1AD0849499C80F" ma:contentTypeVersion="7" ma:contentTypeDescription="Create a new document." ma:contentTypeScope="" ma:versionID="d0aeed1be005c47634a69e0a1b3ec149">
  <xsd:schema xmlns:xsd="http://www.w3.org/2001/XMLSchema" xmlns:xs="http://www.w3.org/2001/XMLSchema" xmlns:p="http://schemas.microsoft.com/office/2006/metadata/properties" xmlns:ns3="adb0bc28-19b9-46c0-866e-95561b088bb0" targetNamespace="http://schemas.microsoft.com/office/2006/metadata/properties" ma:root="true" ma:fieldsID="58428f47d6658de6ba9557fb57bc20e6" ns3:_="">
    <xsd:import namespace="adb0bc28-19b9-46c0-866e-95561b088b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b0bc28-19b9-46c0-866e-95561b088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b0bc28-19b9-46c0-866e-95561b088bb0" xsi:nil="true"/>
  </documentManagement>
</p:properties>
</file>

<file path=customXml/itemProps1.xml><?xml version="1.0" encoding="utf-8"?>
<ds:datastoreItem xmlns:ds="http://schemas.openxmlformats.org/officeDocument/2006/customXml" ds:itemID="{CA9DA747-CDCC-409D-B174-3E9C26A6D9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3362EE-7C6E-48A6-80B5-3A30109A84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b0bc28-19b9-46c0-866e-95561b088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9C637C-F999-404A-903D-5D8FBC72B942}">
  <ds:schemaRefs>
    <ds:schemaRef ds:uri="http://schemas.microsoft.com/office/2006/metadata/properties"/>
    <ds:schemaRef ds:uri="http://schemas.microsoft.com/office/infopath/2007/PartnerControls"/>
    <ds:schemaRef ds:uri="adb0bc28-19b9-46c0-866e-95561b088b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Deepanshu Rawat</cp:lastModifiedBy>
  <cp:revision/>
  <dcterms:created xsi:type="dcterms:W3CDTF">2021-09-13T05:48:02Z</dcterms:created>
  <dcterms:modified xsi:type="dcterms:W3CDTF">2024-12-26T13:27:08Z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0x01010060FC22E1BF147E428F1AD0849499C80F</vt:lpwstr>
  </property>
</Properties>
</file>