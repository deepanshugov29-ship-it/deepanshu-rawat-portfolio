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ownloads\Term2\practise_&amp;_project\"/>
    </mc:Choice>
  </mc:AlternateContent>
  <xr:revisionPtr revIDLastSave="0" documentId="13_ncr:1_{A96650DA-B867-4B8B-A255-9F2FCD28606F}" xr6:coauthVersionLast="47" xr6:coauthVersionMax="47" xr10:uidLastSave="{00000000-0000-0000-0000-000000000000}"/>
  <bookViews>
    <workbookView xWindow="-110" yWindow="-110" windowWidth="19420" windowHeight="10300" firstSheet="1" activeTab="5" xr2:uid="{C76EE691-0F19-4B1A-9983-60086C862843}"/>
  </bookViews>
  <sheets>
    <sheet name="Steps_Reason" sheetId="6" r:id="rId1"/>
    <sheet name="Regression Beta" sheetId="1" r:id="rId2"/>
    <sheet name="Peers Beta" sheetId="2" r:id="rId3"/>
    <sheet name="Rm-Rf" sheetId="3" r:id="rId4"/>
    <sheet name="Bottom-Up Beta" sheetId="4" r:id="rId5"/>
    <sheet name="WACC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5" i="4"/>
  <c r="F17" i="4" s="1"/>
  <c r="K4" i="4"/>
  <c r="J4" i="4"/>
  <c r="L9" i="3"/>
  <c r="E15" i="5"/>
  <c r="M4" i="5"/>
  <c r="H10" i="5"/>
  <c r="D10" i="5"/>
  <c r="G5" i="4"/>
  <c r="G6" i="4"/>
  <c r="G7" i="4"/>
  <c r="G8" i="4"/>
  <c r="G9" i="4"/>
  <c r="K9" i="4" s="1"/>
  <c r="G10" i="4"/>
  <c r="K10" i="4" s="1"/>
  <c r="G11" i="4"/>
  <c r="G12" i="4"/>
  <c r="G4" i="4"/>
  <c r="J8" i="4"/>
  <c r="J6" i="4"/>
  <c r="J7" i="4"/>
  <c r="J9" i="4"/>
  <c r="J10" i="4"/>
  <c r="J11" i="4"/>
  <c r="J12" i="4"/>
  <c r="K7" i="4" l="1"/>
  <c r="K6" i="4"/>
  <c r="K12" i="4"/>
  <c r="K11" i="4"/>
  <c r="K8" i="4"/>
  <c r="G9" i="3"/>
  <c r="C9" i="3" l="1"/>
  <c r="AM273" i="2"/>
  <c r="AN273" i="2" s="1"/>
  <c r="AH273" i="2"/>
  <c r="AI273" i="2" s="1"/>
  <c r="AC273" i="2"/>
  <c r="AD273" i="2" s="1"/>
  <c r="X273" i="2"/>
  <c r="Y273" i="2" s="1"/>
  <c r="S273" i="2"/>
  <c r="T273" i="2" s="1"/>
  <c r="N273" i="2"/>
  <c r="O273" i="2" s="1"/>
  <c r="D273" i="2"/>
  <c r="E273" i="2" s="1"/>
  <c r="AM272" i="2"/>
  <c r="AN272" i="2" s="1"/>
  <c r="AH272" i="2"/>
  <c r="AI272" i="2" s="1"/>
  <c r="AC272" i="2"/>
  <c r="AD272" i="2" s="1"/>
  <c r="X272" i="2"/>
  <c r="Y272" i="2" s="1"/>
  <c r="S272" i="2"/>
  <c r="T272" i="2" s="1"/>
  <c r="N272" i="2"/>
  <c r="O272" i="2" s="1"/>
  <c r="D272" i="2"/>
  <c r="E272" i="2" s="1"/>
  <c r="AM271" i="2"/>
  <c r="AN271" i="2" s="1"/>
  <c r="AH271" i="2"/>
  <c r="AI271" i="2" s="1"/>
  <c r="AC271" i="2"/>
  <c r="AD271" i="2" s="1"/>
  <c r="X271" i="2"/>
  <c r="Y271" i="2" s="1"/>
  <c r="S271" i="2"/>
  <c r="T271" i="2" s="1"/>
  <c r="N271" i="2"/>
  <c r="O271" i="2" s="1"/>
  <c r="D271" i="2"/>
  <c r="E271" i="2" s="1"/>
  <c r="AM270" i="2"/>
  <c r="AN270" i="2" s="1"/>
  <c r="AH270" i="2"/>
  <c r="AI270" i="2" s="1"/>
  <c r="AC270" i="2"/>
  <c r="AD270" i="2" s="1"/>
  <c r="X270" i="2"/>
  <c r="Y270" i="2" s="1"/>
  <c r="S270" i="2"/>
  <c r="T270" i="2" s="1"/>
  <c r="N270" i="2"/>
  <c r="O270" i="2" s="1"/>
  <c r="D270" i="2"/>
  <c r="E270" i="2" s="1"/>
  <c r="AM269" i="2"/>
  <c r="AN269" i="2" s="1"/>
  <c r="AH269" i="2"/>
  <c r="AI269" i="2" s="1"/>
  <c r="AC269" i="2"/>
  <c r="AD269" i="2" s="1"/>
  <c r="X269" i="2"/>
  <c r="Y269" i="2" s="1"/>
  <c r="S269" i="2"/>
  <c r="T269" i="2" s="1"/>
  <c r="N269" i="2"/>
  <c r="O269" i="2" s="1"/>
  <c r="D269" i="2"/>
  <c r="E269" i="2" s="1"/>
  <c r="AM268" i="2"/>
  <c r="AN268" i="2" s="1"/>
  <c r="AH268" i="2"/>
  <c r="AI268" i="2" s="1"/>
  <c r="AC268" i="2"/>
  <c r="AD268" i="2" s="1"/>
  <c r="X268" i="2"/>
  <c r="Y268" i="2" s="1"/>
  <c r="S268" i="2"/>
  <c r="T268" i="2" s="1"/>
  <c r="N268" i="2"/>
  <c r="O268" i="2" s="1"/>
  <c r="D268" i="2"/>
  <c r="E268" i="2" s="1"/>
  <c r="AM267" i="2"/>
  <c r="AN267" i="2" s="1"/>
  <c r="AH267" i="2"/>
  <c r="AI267" i="2" s="1"/>
  <c r="AC267" i="2"/>
  <c r="AD267" i="2" s="1"/>
  <c r="X267" i="2"/>
  <c r="Y267" i="2" s="1"/>
  <c r="S267" i="2"/>
  <c r="T267" i="2" s="1"/>
  <c r="N267" i="2"/>
  <c r="O267" i="2" s="1"/>
  <c r="D267" i="2"/>
  <c r="E267" i="2" s="1"/>
  <c r="AM266" i="2"/>
  <c r="AN266" i="2" s="1"/>
  <c r="AH266" i="2"/>
  <c r="AI266" i="2" s="1"/>
  <c r="AC266" i="2"/>
  <c r="AD266" i="2" s="1"/>
  <c r="X266" i="2"/>
  <c r="Y266" i="2" s="1"/>
  <c r="S266" i="2"/>
  <c r="T266" i="2" s="1"/>
  <c r="N266" i="2"/>
  <c r="O266" i="2" s="1"/>
  <c r="D266" i="2"/>
  <c r="E266" i="2" s="1"/>
  <c r="AM265" i="2"/>
  <c r="AN265" i="2" s="1"/>
  <c r="AH265" i="2"/>
  <c r="AI265" i="2" s="1"/>
  <c r="AC265" i="2"/>
  <c r="AD265" i="2" s="1"/>
  <c r="X265" i="2"/>
  <c r="Y265" i="2" s="1"/>
  <c r="S265" i="2"/>
  <c r="T265" i="2" s="1"/>
  <c r="N265" i="2"/>
  <c r="O265" i="2" s="1"/>
  <c r="D265" i="2"/>
  <c r="E265" i="2" s="1"/>
  <c r="AM264" i="2"/>
  <c r="AN264" i="2" s="1"/>
  <c r="AH264" i="2"/>
  <c r="AI264" i="2" s="1"/>
  <c r="AC264" i="2"/>
  <c r="AD264" i="2" s="1"/>
  <c r="X264" i="2"/>
  <c r="Y264" i="2" s="1"/>
  <c r="S264" i="2"/>
  <c r="T264" i="2" s="1"/>
  <c r="N264" i="2"/>
  <c r="O264" i="2" s="1"/>
  <c r="D264" i="2"/>
  <c r="E264" i="2" s="1"/>
  <c r="AM263" i="2"/>
  <c r="AN263" i="2" s="1"/>
  <c r="AH263" i="2"/>
  <c r="AI263" i="2" s="1"/>
  <c r="AC263" i="2"/>
  <c r="AD263" i="2" s="1"/>
  <c r="X263" i="2"/>
  <c r="Y263" i="2" s="1"/>
  <c r="S263" i="2"/>
  <c r="T263" i="2" s="1"/>
  <c r="N263" i="2"/>
  <c r="O263" i="2" s="1"/>
  <c r="D263" i="2"/>
  <c r="E263" i="2" s="1"/>
  <c r="AM262" i="2"/>
  <c r="AN262" i="2" s="1"/>
  <c r="AH262" i="2"/>
  <c r="AI262" i="2" s="1"/>
  <c r="AC262" i="2"/>
  <c r="AD262" i="2" s="1"/>
  <c r="X262" i="2"/>
  <c r="Y262" i="2" s="1"/>
  <c r="S262" i="2"/>
  <c r="T262" i="2" s="1"/>
  <c r="N262" i="2"/>
  <c r="O262" i="2" s="1"/>
  <c r="D262" i="2"/>
  <c r="E262" i="2" s="1"/>
  <c r="AM261" i="2"/>
  <c r="AN261" i="2" s="1"/>
  <c r="AH261" i="2"/>
  <c r="AI261" i="2" s="1"/>
  <c r="AC261" i="2"/>
  <c r="AD261" i="2" s="1"/>
  <c r="X261" i="2"/>
  <c r="Y261" i="2" s="1"/>
  <c r="S261" i="2"/>
  <c r="T261" i="2" s="1"/>
  <c r="N261" i="2"/>
  <c r="O261" i="2" s="1"/>
  <c r="D261" i="2"/>
  <c r="E261" i="2" s="1"/>
  <c r="AM260" i="2"/>
  <c r="AN260" i="2" s="1"/>
  <c r="AH260" i="2"/>
  <c r="AI260" i="2" s="1"/>
  <c r="AC260" i="2"/>
  <c r="AD260" i="2" s="1"/>
  <c r="X260" i="2"/>
  <c r="Y260" i="2" s="1"/>
  <c r="S260" i="2"/>
  <c r="T260" i="2" s="1"/>
  <c r="N260" i="2"/>
  <c r="O260" i="2" s="1"/>
  <c r="D260" i="2"/>
  <c r="E260" i="2" s="1"/>
  <c r="AM259" i="2"/>
  <c r="AN259" i="2" s="1"/>
  <c r="AH259" i="2"/>
  <c r="AI259" i="2" s="1"/>
  <c r="AC259" i="2"/>
  <c r="AD259" i="2" s="1"/>
  <c r="X259" i="2"/>
  <c r="Y259" i="2" s="1"/>
  <c r="S259" i="2"/>
  <c r="T259" i="2" s="1"/>
  <c r="N259" i="2"/>
  <c r="O259" i="2" s="1"/>
  <c r="D259" i="2"/>
  <c r="E259" i="2" s="1"/>
  <c r="AM258" i="2"/>
  <c r="AN258" i="2" s="1"/>
  <c r="AH258" i="2"/>
  <c r="AI258" i="2" s="1"/>
  <c r="AC258" i="2"/>
  <c r="AD258" i="2" s="1"/>
  <c r="X258" i="2"/>
  <c r="Y258" i="2" s="1"/>
  <c r="S258" i="2"/>
  <c r="T258" i="2" s="1"/>
  <c r="N258" i="2"/>
  <c r="O258" i="2" s="1"/>
  <c r="D258" i="2"/>
  <c r="E258" i="2" s="1"/>
  <c r="AM257" i="2"/>
  <c r="AN257" i="2" s="1"/>
  <c r="AH257" i="2"/>
  <c r="AI257" i="2" s="1"/>
  <c r="AC257" i="2"/>
  <c r="AD257" i="2" s="1"/>
  <c r="X257" i="2"/>
  <c r="Y257" i="2" s="1"/>
  <c r="S257" i="2"/>
  <c r="T257" i="2" s="1"/>
  <c r="N257" i="2"/>
  <c r="O257" i="2" s="1"/>
  <c r="D257" i="2"/>
  <c r="E257" i="2" s="1"/>
  <c r="AM256" i="2"/>
  <c r="AN256" i="2" s="1"/>
  <c r="AH256" i="2"/>
  <c r="AI256" i="2" s="1"/>
  <c r="AC256" i="2"/>
  <c r="AD256" i="2" s="1"/>
  <c r="X256" i="2"/>
  <c r="Y256" i="2" s="1"/>
  <c r="S256" i="2"/>
  <c r="T256" i="2" s="1"/>
  <c r="N256" i="2"/>
  <c r="O256" i="2" s="1"/>
  <c r="D256" i="2"/>
  <c r="E256" i="2" s="1"/>
  <c r="AM255" i="2"/>
  <c r="AN255" i="2" s="1"/>
  <c r="AH255" i="2"/>
  <c r="AI255" i="2" s="1"/>
  <c r="AC255" i="2"/>
  <c r="AD255" i="2" s="1"/>
  <c r="X255" i="2"/>
  <c r="Y255" i="2" s="1"/>
  <c r="S255" i="2"/>
  <c r="T255" i="2" s="1"/>
  <c r="N255" i="2"/>
  <c r="O255" i="2" s="1"/>
  <c r="D255" i="2"/>
  <c r="E255" i="2" s="1"/>
  <c r="AM254" i="2"/>
  <c r="AN254" i="2" s="1"/>
  <c r="AH254" i="2"/>
  <c r="AI254" i="2" s="1"/>
  <c r="AC254" i="2"/>
  <c r="AD254" i="2" s="1"/>
  <c r="X254" i="2"/>
  <c r="Y254" i="2" s="1"/>
  <c r="S254" i="2"/>
  <c r="T254" i="2" s="1"/>
  <c r="N254" i="2"/>
  <c r="O254" i="2" s="1"/>
  <c r="D254" i="2"/>
  <c r="E254" i="2" s="1"/>
  <c r="AM253" i="2"/>
  <c r="AN253" i="2" s="1"/>
  <c r="AH253" i="2"/>
  <c r="AI253" i="2" s="1"/>
  <c r="AC253" i="2"/>
  <c r="AD253" i="2" s="1"/>
  <c r="X253" i="2"/>
  <c r="Y253" i="2" s="1"/>
  <c r="S253" i="2"/>
  <c r="T253" i="2" s="1"/>
  <c r="N253" i="2"/>
  <c r="O253" i="2" s="1"/>
  <c r="D253" i="2"/>
  <c r="E253" i="2" s="1"/>
  <c r="AM252" i="2"/>
  <c r="AN252" i="2" s="1"/>
  <c r="AH252" i="2"/>
  <c r="AI252" i="2" s="1"/>
  <c r="AC252" i="2"/>
  <c r="AD252" i="2" s="1"/>
  <c r="X252" i="2"/>
  <c r="Y252" i="2" s="1"/>
  <c r="S252" i="2"/>
  <c r="T252" i="2" s="1"/>
  <c r="N252" i="2"/>
  <c r="O252" i="2" s="1"/>
  <c r="D252" i="2"/>
  <c r="E252" i="2" s="1"/>
  <c r="AM251" i="2"/>
  <c r="AN251" i="2" s="1"/>
  <c r="AH251" i="2"/>
  <c r="AI251" i="2" s="1"/>
  <c r="AC251" i="2"/>
  <c r="AD251" i="2" s="1"/>
  <c r="X251" i="2"/>
  <c r="Y251" i="2" s="1"/>
  <c r="S251" i="2"/>
  <c r="T251" i="2" s="1"/>
  <c r="N251" i="2"/>
  <c r="O251" i="2" s="1"/>
  <c r="D251" i="2"/>
  <c r="E251" i="2" s="1"/>
  <c r="AM250" i="2"/>
  <c r="AN250" i="2" s="1"/>
  <c r="AH250" i="2"/>
  <c r="AI250" i="2" s="1"/>
  <c r="AC250" i="2"/>
  <c r="AD250" i="2" s="1"/>
  <c r="X250" i="2"/>
  <c r="Y250" i="2" s="1"/>
  <c r="S250" i="2"/>
  <c r="T250" i="2" s="1"/>
  <c r="N250" i="2"/>
  <c r="O250" i="2" s="1"/>
  <c r="D250" i="2"/>
  <c r="E250" i="2" s="1"/>
  <c r="AM249" i="2"/>
  <c r="AN249" i="2" s="1"/>
  <c r="AH249" i="2"/>
  <c r="AI249" i="2" s="1"/>
  <c r="AC249" i="2"/>
  <c r="AD249" i="2" s="1"/>
  <c r="X249" i="2"/>
  <c r="Y249" i="2" s="1"/>
  <c r="S249" i="2"/>
  <c r="T249" i="2" s="1"/>
  <c r="N249" i="2"/>
  <c r="O249" i="2" s="1"/>
  <c r="D249" i="2"/>
  <c r="E249" i="2" s="1"/>
  <c r="AM248" i="2"/>
  <c r="AN248" i="2" s="1"/>
  <c r="AH248" i="2"/>
  <c r="AI248" i="2" s="1"/>
  <c r="AC248" i="2"/>
  <c r="AD248" i="2" s="1"/>
  <c r="X248" i="2"/>
  <c r="Y248" i="2" s="1"/>
  <c r="S248" i="2"/>
  <c r="T248" i="2" s="1"/>
  <c r="N248" i="2"/>
  <c r="O248" i="2" s="1"/>
  <c r="D248" i="2"/>
  <c r="E248" i="2" s="1"/>
  <c r="AM247" i="2"/>
  <c r="AN247" i="2" s="1"/>
  <c r="AH247" i="2"/>
  <c r="AI247" i="2" s="1"/>
  <c r="AC247" i="2"/>
  <c r="AD247" i="2" s="1"/>
  <c r="X247" i="2"/>
  <c r="Y247" i="2" s="1"/>
  <c r="S247" i="2"/>
  <c r="T247" i="2" s="1"/>
  <c r="N247" i="2"/>
  <c r="O247" i="2" s="1"/>
  <c r="D247" i="2"/>
  <c r="E247" i="2" s="1"/>
  <c r="AM246" i="2"/>
  <c r="AN246" i="2" s="1"/>
  <c r="AH246" i="2"/>
  <c r="AI246" i="2" s="1"/>
  <c r="AC246" i="2"/>
  <c r="AD246" i="2" s="1"/>
  <c r="X246" i="2"/>
  <c r="Y246" i="2" s="1"/>
  <c r="S246" i="2"/>
  <c r="T246" i="2" s="1"/>
  <c r="N246" i="2"/>
  <c r="O246" i="2" s="1"/>
  <c r="D246" i="2"/>
  <c r="E246" i="2" s="1"/>
  <c r="AM245" i="2"/>
  <c r="AN245" i="2" s="1"/>
  <c r="AH245" i="2"/>
  <c r="AI245" i="2" s="1"/>
  <c r="AC245" i="2"/>
  <c r="AD245" i="2" s="1"/>
  <c r="X245" i="2"/>
  <c r="Y245" i="2" s="1"/>
  <c r="S245" i="2"/>
  <c r="T245" i="2" s="1"/>
  <c r="N245" i="2"/>
  <c r="O245" i="2" s="1"/>
  <c r="D245" i="2"/>
  <c r="E245" i="2" s="1"/>
  <c r="AM244" i="2"/>
  <c r="AN244" i="2" s="1"/>
  <c r="AH244" i="2"/>
  <c r="AI244" i="2" s="1"/>
  <c r="AC244" i="2"/>
  <c r="AD244" i="2" s="1"/>
  <c r="X244" i="2"/>
  <c r="Y244" i="2" s="1"/>
  <c r="S244" i="2"/>
  <c r="T244" i="2" s="1"/>
  <c r="N244" i="2"/>
  <c r="O244" i="2" s="1"/>
  <c r="D244" i="2"/>
  <c r="E244" i="2" s="1"/>
  <c r="AM243" i="2"/>
  <c r="AN243" i="2" s="1"/>
  <c r="AH243" i="2"/>
  <c r="AI243" i="2" s="1"/>
  <c r="AC243" i="2"/>
  <c r="AD243" i="2" s="1"/>
  <c r="X243" i="2"/>
  <c r="Y243" i="2" s="1"/>
  <c r="S243" i="2"/>
  <c r="T243" i="2" s="1"/>
  <c r="N243" i="2"/>
  <c r="O243" i="2" s="1"/>
  <c r="D243" i="2"/>
  <c r="E243" i="2" s="1"/>
  <c r="AM242" i="2"/>
  <c r="AN242" i="2" s="1"/>
  <c r="AH242" i="2"/>
  <c r="AI242" i="2" s="1"/>
  <c r="AC242" i="2"/>
  <c r="AD242" i="2" s="1"/>
  <c r="X242" i="2"/>
  <c r="Y242" i="2" s="1"/>
  <c r="S242" i="2"/>
  <c r="T242" i="2" s="1"/>
  <c r="N242" i="2"/>
  <c r="O242" i="2" s="1"/>
  <c r="D242" i="2"/>
  <c r="E242" i="2" s="1"/>
  <c r="AM241" i="2"/>
  <c r="AN241" i="2" s="1"/>
  <c r="AH241" i="2"/>
  <c r="AI241" i="2" s="1"/>
  <c r="AC241" i="2"/>
  <c r="AD241" i="2" s="1"/>
  <c r="X241" i="2"/>
  <c r="Y241" i="2" s="1"/>
  <c r="S241" i="2"/>
  <c r="T241" i="2" s="1"/>
  <c r="N241" i="2"/>
  <c r="O241" i="2" s="1"/>
  <c r="D241" i="2"/>
  <c r="E241" i="2" s="1"/>
  <c r="AM240" i="2"/>
  <c r="AN240" i="2" s="1"/>
  <c r="AH240" i="2"/>
  <c r="AI240" i="2" s="1"/>
  <c r="AC240" i="2"/>
  <c r="AD240" i="2" s="1"/>
  <c r="X240" i="2"/>
  <c r="Y240" i="2" s="1"/>
  <c r="S240" i="2"/>
  <c r="T240" i="2" s="1"/>
  <c r="N240" i="2"/>
  <c r="O240" i="2" s="1"/>
  <c r="D240" i="2"/>
  <c r="E240" i="2" s="1"/>
  <c r="AM239" i="2"/>
  <c r="AN239" i="2" s="1"/>
  <c r="AH239" i="2"/>
  <c r="AI239" i="2" s="1"/>
  <c r="AC239" i="2"/>
  <c r="AD239" i="2" s="1"/>
  <c r="X239" i="2"/>
  <c r="Y239" i="2" s="1"/>
  <c r="S239" i="2"/>
  <c r="T239" i="2" s="1"/>
  <c r="N239" i="2"/>
  <c r="O239" i="2" s="1"/>
  <c r="D239" i="2"/>
  <c r="E239" i="2" s="1"/>
  <c r="AM238" i="2"/>
  <c r="AN238" i="2" s="1"/>
  <c r="AH238" i="2"/>
  <c r="AI238" i="2" s="1"/>
  <c r="AC238" i="2"/>
  <c r="AD238" i="2" s="1"/>
  <c r="X238" i="2"/>
  <c r="Y238" i="2" s="1"/>
  <c r="S238" i="2"/>
  <c r="T238" i="2" s="1"/>
  <c r="N238" i="2"/>
  <c r="O238" i="2" s="1"/>
  <c r="D238" i="2"/>
  <c r="E238" i="2" s="1"/>
  <c r="AM237" i="2"/>
  <c r="AN237" i="2" s="1"/>
  <c r="AH237" i="2"/>
  <c r="AI237" i="2" s="1"/>
  <c r="AC237" i="2"/>
  <c r="AD237" i="2" s="1"/>
  <c r="X237" i="2"/>
  <c r="Y237" i="2" s="1"/>
  <c r="S237" i="2"/>
  <c r="T237" i="2" s="1"/>
  <c r="N237" i="2"/>
  <c r="O237" i="2" s="1"/>
  <c r="D237" i="2"/>
  <c r="E237" i="2" s="1"/>
  <c r="AM236" i="2"/>
  <c r="AN236" i="2" s="1"/>
  <c r="AH236" i="2"/>
  <c r="AI236" i="2" s="1"/>
  <c r="AC236" i="2"/>
  <c r="AD236" i="2" s="1"/>
  <c r="X236" i="2"/>
  <c r="Y236" i="2" s="1"/>
  <c r="S236" i="2"/>
  <c r="T236" i="2" s="1"/>
  <c r="N236" i="2"/>
  <c r="O236" i="2" s="1"/>
  <c r="D236" i="2"/>
  <c r="E236" i="2" s="1"/>
  <c r="AM235" i="2"/>
  <c r="AN235" i="2" s="1"/>
  <c r="AH235" i="2"/>
  <c r="AI235" i="2" s="1"/>
  <c r="AC235" i="2"/>
  <c r="AD235" i="2" s="1"/>
  <c r="X235" i="2"/>
  <c r="Y235" i="2" s="1"/>
  <c r="S235" i="2"/>
  <c r="T235" i="2" s="1"/>
  <c r="N235" i="2"/>
  <c r="O235" i="2" s="1"/>
  <c r="D235" i="2"/>
  <c r="E235" i="2" s="1"/>
  <c r="AM234" i="2"/>
  <c r="AN234" i="2" s="1"/>
  <c r="AH234" i="2"/>
  <c r="AI234" i="2" s="1"/>
  <c r="AC234" i="2"/>
  <c r="AD234" i="2" s="1"/>
  <c r="X234" i="2"/>
  <c r="Y234" i="2" s="1"/>
  <c r="S234" i="2"/>
  <c r="T234" i="2" s="1"/>
  <c r="N234" i="2"/>
  <c r="O234" i="2" s="1"/>
  <c r="D234" i="2"/>
  <c r="E234" i="2" s="1"/>
  <c r="AM233" i="2"/>
  <c r="AN233" i="2" s="1"/>
  <c r="AH233" i="2"/>
  <c r="AI233" i="2" s="1"/>
  <c r="AC233" i="2"/>
  <c r="AD233" i="2" s="1"/>
  <c r="X233" i="2"/>
  <c r="Y233" i="2" s="1"/>
  <c r="S233" i="2"/>
  <c r="T233" i="2" s="1"/>
  <c r="N233" i="2"/>
  <c r="O233" i="2" s="1"/>
  <c r="D233" i="2"/>
  <c r="E233" i="2" s="1"/>
  <c r="AM232" i="2"/>
  <c r="AN232" i="2" s="1"/>
  <c r="AH232" i="2"/>
  <c r="AI232" i="2" s="1"/>
  <c r="AC232" i="2"/>
  <c r="AD232" i="2" s="1"/>
  <c r="X232" i="2"/>
  <c r="Y232" i="2" s="1"/>
  <c r="S232" i="2"/>
  <c r="T232" i="2" s="1"/>
  <c r="N232" i="2"/>
  <c r="O232" i="2" s="1"/>
  <c r="D232" i="2"/>
  <c r="E232" i="2" s="1"/>
  <c r="AM231" i="2"/>
  <c r="AN231" i="2" s="1"/>
  <c r="AH231" i="2"/>
  <c r="AI231" i="2" s="1"/>
  <c r="AC231" i="2"/>
  <c r="AD231" i="2" s="1"/>
  <c r="X231" i="2"/>
  <c r="Y231" i="2" s="1"/>
  <c r="S231" i="2"/>
  <c r="T231" i="2" s="1"/>
  <c r="N231" i="2"/>
  <c r="O231" i="2" s="1"/>
  <c r="D231" i="2"/>
  <c r="E231" i="2" s="1"/>
  <c r="AM230" i="2"/>
  <c r="AN230" i="2" s="1"/>
  <c r="AH230" i="2"/>
  <c r="AI230" i="2" s="1"/>
  <c r="AC230" i="2"/>
  <c r="AD230" i="2" s="1"/>
  <c r="X230" i="2"/>
  <c r="Y230" i="2" s="1"/>
  <c r="S230" i="2"/>
  <c r="T230" i="2" s="1"/>
  <c r="N230" i="2"/>
  <c r="O230" i="2" s="1"/>
  <c r="D230" i="2"/>
  <c r="E230" i="2" s="1"/>
  <c r="AM229" i="2"/>
  <c r="AN229" i="2" s="1"/>
  <c r="AH229" i="2"/>
  <c r="AI229" i="2" s="1"/>
  <c r="AC229" i="2"/>
  <c r="AD229" i="2" s="1"/>
  <c r="X229" i="2"/>
  <c r="Y229" i="2" s="1"/>
  <c r="S229" i="2"/>
  <c r="T229" i="2" s="1"/>
  <c r="N229" i="2"/>
  <c r="O229" i="2" s="1"/>
  <c r="D229" i="2"/>
  <c r="E229" i="2" s="1"/>
  <c r="AM228" i="2"/>
  <c r="AN228" i="2" s="1"/>
  <c r="AH228" i="2"/>
  <c r="AI228" i="2" s="1"/>
  <c r="AC228" i="2"/>
  <c r="AD228" i="2" s="1"/>
  <c r="X228" i="2"/>
  <c r="Y228" i="2" s="1"/>
  <c r="S228" i="2"/>
  <c r="T228" i="2" s="1"/>
  <c r="N228" i="2"/>
  <c r="O228" i="2" s="1"/>
  <c r="D228" i="2"/>
  <c r="E228" i="2" s="1"/>
  <c r="AM227" i="2"/>
  <c r="AN227" i="2" s="1"/>
  <c r="AH227" i="2"/>
  <c r="AI227" i="2" s="1"/>
  <c r="AC227" i="2"/>
  <c r="AD227" i="2" s="1"/>
  <c r="X227" i="2"/>
  <c r="Y227" i="2" s="1"/>
  <c r="S227" i="2"/>
  <c r="T227" i="2" s="1"/>
  <c r="N227" i="2"/>
  <c r="O227" i="2" s="1"/>
  <c r="D227" i="2"/>
  <c r="E227" i="2" s="1"/>
  <c r="AM226" i="2"/>
  <c r="AN226" i="2" s="1"/>
  <c r="AH226" i="2"/>
  <c r="AI226" i="2" s="1"/>
  <c r="AC226" i="2"/>
  <c r="AD226" i="2" s="1"/>
  <c r="X226" i="2"/>
  <c r="Y226" i="2" s="1"/>
  <c r="S226" i="2"/>
  <c r="T226" i="2" s="1"/>
  <c r="N226" i="2"/>
  <c r="O226" i="2" s="1"/>
  <c r="D226" i="2"/>
  <c r="E226" i="2" s="1"/>
  <c r="AM225" i="2"/>
  <c r="AN225" i="2" s="1"/>
  <c r="AH225" i="2"/>
  <c r="AI225" i="2" s="1"/>
  <c r="AC225" i="2"/>
  <c r="AD225" i="2" s="1"/>
  <c r="X225" i="2"/>
  <c r="Y225" i="2" s="1"/>
  <c r="S225" i="2"/>
  <c r="T225" i="2" s="1"/>
  <c r="N225" i="2"/>
  <c r="O225" i="2" s="1"/>
  <c r="D225" i="2"/>
  <c r="E225" i="2" s="1"/>
  <c r="AM224" i="2"/>
  <c r="AN224" i="2" s="1"/>
  <c r="AH224" i="2"/>
  <c r="AI224" i="2" s="1"/>
  <c r="AC224" i="2"/>
  <c r="AD224" i="2" s="1"/>
  <c r="X224" i="2"/>
  <c r="Y224" i="2" s="1"/>
  <c r="S224" i="2"/>
  <c r="T224" i="2" s="1"/>
  <c r="N224" i="2"/>
  <c r="O224" i="2" s="1"/>
  <c r="D224" i="2"/>
  <c r="E224" i="2" s="1"/>
  <c r="AM223" i="2"/>
  <c r="AN223" i="2" s="1"/>
  <c r="AH223" i="2"/>
  <c r="AI223" i="2" s="1"/>
  <c r="AC223" i="2"/>
  <c r="AD223" i="2" s="1"/>
  <c r="X223" i="2"/>
  <c r="Y223" i="2" s="1"/>
  <c r="S223" i="2"/>
  <c r="T223" i="2" s="1"/>
  <c r="N223" i="2"/>
  <c r="O223" i="2" s="1"/>
  <c r="D223" i="2"/>
  <c r="E223" i="2" s="1"/>
  <c r="AM222" i="2"/>
  <c r="AN222" i="2" s="1"/>
  <c r="AH222" i="2"/>
  <c r="AI222" i="2" s="1"/>
  <c r="AC222" i="2"/>
  <c r="AD222" i="2" s="1"/>
  <c r="X222" i="2"/>
  <c r="Y222" i="2" s="1"/>
  <c r="S222" i="2"/>
  <c r="T222" i="2" s="1"/>
  <c r="N222" i="2"/>
  <c r="O222" i="2" s="1"/>
  <c r="D222" i="2"/>
  <c r="E222" i="2" s="1"/>
  <c r="AM221" i="2"/>
  <c r="AN221" i="2" s="1"/>
  <c r="AH221" i="2"/>
  <c r="AI221" i="2" s="1"/>
  <c r="AC221" i="2"/>
  <c r="AD221" i="2" s="1"/>
  <c r="X221" i="2"/>
  <c r="Y221" i="2" s="1"/>
  <c r="S221" i="2"/>
  <c r="T221" i="2" s="1"/>
  <c r="N221" i="2"/>
  <c r="O221" i="2" s="1"/>
  <c r="D221" i="2"/>
  <c r="E221" i="2" s="1"/>
  <c r="AM220" i="2"/>
  <c r="AN220" i="2" s="1"/>
  <c r="AH220" i="2"/>
  <c r="AI220" i="2" s="1"/>
  <c r="AC220" i="2"/>
  <c r="AD220" i="2" s="1"/>
  <c r="X220" i="2"/>
  <c r="Y220" i="2" s="1"/>
  <c r="S220" i="2"/>
  <c r="T220" i="2" s="1"/>
  <c r="N220" i="2"/>
  <c r="O220" i="2" s="1"/>
  <c r="D220" i="2"/>
  <c r="E220" i="2" s="1"/>
  <c r="AM219" i="2"/>
  <c r="AN219" i="2" s="1"/>
  <c r="AH219" i="2"/>
  <c r="AI219" i="2" s="1"/>
  <c r="AC219" i="2"/>
  <c r="AD219" i="2" s="1"/>
  <c r="X219" i="2"/>
  <c r="Y219" i="2" s="1"/>
  <c r="S219" i="2"/>
  <c r="T219" i="2" s="1"/>
  <c r="N219" i="2"/>
  <c r="O219" i="2" s="1"/>
  <c r="D219" i="2"/>
  <c r="E219" i="2" s="1"/>
  <c r="AM218" i="2"/>
  <c r="AN218" i="2" s="1"/>
  <c r="AH218" i="2"/>
  <c r="AI218" i="2" s="1"/>
  <c r="AC218" i="2"/>
  <c r="AD218" i="2" s="1"/>
  <c r="X218" i="2"/>
  <c r="Y218" i="2" s="1"/>
  <c r="S218" i="2"/>
  <c r="T218" i="2" s="1"/>
  <c r="N218" i="2"/>
  <c r="O218" i="2" s="1"/>
  <c r="D218" i="2"/>
  <c r="E218" i="2" s="1"/>
  <c r="AM217" i="2"/>
  <c r="AN217" i="2" s="1"/>
  <c r="AH217" i="2"/>
  <c r="AI217" i="2" s="1"/>
  <c r="AC217" i="2"/>
  <c r="AD217" i="2" s="1"/>
  <c r="X217" i="2"/>
  <c r="Y217" i="2" s="1"/>
  <c r="S217" i="2"/>
  <c r="T217" i="2" s="1"/>
  <c r="N217" i="2"/>
  <c r="O217" i="2" s="1"/>
  <c r="D217" i="2"/>
  <c r="E217" i="2" s="1"/>
  <c r="AM216" i="2"/>
  <c r="AN216" i="2" s="1"/>
  <c r="AH216" i="2"/>
  <c r="AI216" i="2" s="1"/>
  <c r="AC216" i="2"/>
  <c r="AD216" i="2" s="1"/>
  <c r="X216" i="2"/>
  <c r="Y216" i="2" s="1"/>
  <c r="S216" i="2"/>
  <c r="T216" i="2" s="1"/>
  <c r="N216" i="2"/>
  <c r="O216" i="2" s="1"/>
  <c r="D216" i="2"/>
  <c r="E216" i="2" s="1"/>
  <c r="AM215" i="2"/>
  <c r="AN215" i="2" s="1"/>
  <c r="AH215" i="2"/>
  <c r="AI215" i="2" s="1"/>
  <c r="AC215" i="2"/>
  <c r="AD215" i="2" s="1"/>
  <c r="X215" i="2"/>
  <c r="Y215" i="2" s="1"/>
  <c r="S215" i="2"/>
  <c r="T215" i="2" s="1"/>
  <c r="N215" i="2"/>
  <c r="O215" i="2" s="1"/>
  <c r="D215" i="2"/>
  <c r="E215" i="2" s="1"/>
  <c r="AM214" i="2"/>
  <c r="AN214" i="2" s="1"/>
  <c r="AH214" i="2"/>
  <c r="AI214" i="2" s="1"/>
  <c r="AC214" i="2"/>
  <c r="AD214" i="2" s="1"/>
  <c r="X214" i="2"/>
  <c r="Y214" i="2" s="1"/>
  <c r="S214" i="2"/>
  <c r="T214" i="2" s="1"/>
  <c r="N214" i="2"/>
  <c r="O214" i="2" s="1"/>
  <c r="D214" i="2"/>
  <c r="E214" i="2" s="1"/>
  <c r="AM213" i="2"/>
  <c r="AN213" i="2" s="1"/>
  <c r="AH213" i="2"/>
  <c r="AI213" i="2" s="1"/>
  <c r="AC213" i="2"/>
  <c r="AD213" i="2" s="1"/>
  <c r="X213" i="2"/>
  <c r="Y213" i="2" s="1"/>
  <c r="S213" i="2"/>
  <c r="T213" i="2" s="1"/>
  <c r="N213" i="2"/>
  <c r="O213" i="2" s="1"/>
  <c r="D213" i="2"/>
  <c r="E213" i="2" s="1"/>
  <c r="AM212" i="2"/>
  <c r="AN212" i="2" s="1"/>
  <c r="AH212" i="2"/>
  <c r="AI212" i="2" s="1"/>
  <c r="AC212" i="2"/>
  <c r="AD212" i="2" s="1"/>
  <c r="X212" i="2"/>
  <c r="Y212" i="2" s="1"/>
  <c r="S212" i="2"/>
  <c r="T212" i="2" s="1"/>
  <c r="N212" i="2"/>
  <c r="O212" i="2" s="1"/>
  <c r="D212" i="2"/>
  <c r="E212" i="2" s="1"/>
  <c r="AM211" i="2"/>
  <c r="AN211" i="2" s="1"/>
  <c r="AH211" i="2"/>
  <c r="AI211" i="2" s="1"/>
  <c r="AC211" i="2"/>
  <c r="AD211" i="2" s="1"/>
  <c r="X211" i="2"/>
  <c r="Y211" i="2" s="1"/>
  <c r="S211" i="2"/>
  <c r="T211" i="2" s="1"/>
  <c r="N211" i="2"/>
  <c r="O211" i="2" s="1"/>
  <c r="D211" i="2"/>
  <c r="E211" i="2" s="1"/>
  <c r="AM210" i="2"/>
  <c r="AN210" i="2" s="1"/>
  <c r="AH210" i="2"/>
  <c r="AI210" i="2" s="1"/>
  <c r="AC210" i="2"/>
  <c r="AD210" i="2" s="1"/>
  <c r="X210" i="2"/>
  <c r="Y210" i="2" s="1"/>
  <c r="S210" i="2"/>
  <c r="T210" i="2" s="1"/>
  <c r="N210" i="2"/>
  <c r="O210" i="2" s="1"/>
  <c r="D210" i="2"/>
  <c r="E210" i="2" s="1"/>
  <c r="AM209" i="2"/>
  <c r="AN209" i="2" s="1"/>
  <c r="AH209" i="2"/>
  <c r="AI209" i="2" s="1"/>
  <c r="AC209" i="2"/>
  <c r="AD209" i="2" s="1"/>
  <c r="X209" i="2"/>
  <c r="Y209" i="2" s="1"/>
  <c r="S209" i="2"/>
  <c r="T209" i="2" s="1"/>
  <c r="N209" i="2"/>
  <c r="O209" i="2" s="1"/>
  <c r="D209" i="2"/>
  <c r="E209" i="2" s="1"/>
  <c r="AM208" i="2"/>
  <c r="AN208" i="2" s="1"/>
  <c r="AH208" i="2"/>
  <c r="AI208" i="2" s="1"/>
  <c r="AC208" i="2"/>
  <c r="AD208" i="2" s="1"/>
  <c r="X208" i="2"/>
  <c r="Y208" i="2" s="1"/>
  <c r="S208" i="2"/>
  <c r="T208" i="2" s="1"/>
  <c r="N208" i="2"/>
  <c r="O208" i="2" s="1"/>
  <c r="D208" i="2"/>
  <c r="E208" i="2" s="1"/>
  <c r="AM207" i="2"/>
  <c r="AN207" i="2" s="1"/>
  <c r="AH207" i="2"/>
  <c r="AI207" i="2" s="1"/>
  <c r="AC207" i="2"/>
  <c r="AD207" i="2" s="1"/>
  <c r="X207" i="2"/>
  <c r="Y207" i="2" s="1"/>
  <c r="S207" i="2"/>
  <c r="T207" i="2" s="1"/>
  <c r="N207" i="2"/>
  <c r="O207" i="2" s="1"/>
  <c r="D207" i="2"/>
  <c r="E207" i="2" s="1"/>
  <c r="AM206" i="2"/>
  <c r="AN206" i="2" s="1"/>
  <c r="AH206" i="2"/>
  <c r="AI206" i="2" s="1"/>
  <c r="AC206" i="2"/>
  <c r="AD206" i="2" s="1"/>
  <c r="X206" i="2"/>
  <c r="Y206" i="2" s="1"/>
  <c r="S206" i="2"/>
  <c r="T206" i="2" s="1"/>
  <c r="N206" i="2"/>
  <c r="O206" i="2" s="1"/>
  <c r="D206" i="2"/>
  <c r="E206" i="2" s="1"/>
  <c r="AM205" i="2"/>
  <c r="AN205" i="2" s="1"/>
  <c r="AH205" i="2"/>
  <c r="AI205" i="2" s="1"/>
  <c r="AC205" i="2"/>
  <c r="AD205" i="2" s="1"/>
  <c r="X205" i="2"/>
  <c r="Y205" i="2" s="1"/>
  <c r="S205" i="2"/>
  <c r="T205" i="2" s="1"/>
  <c r="N205" i="2"/>
  <c r="O205" i="2" s="1"/>
  <c r="D205" i="2"/>
  <c r="E205" i="2" s="1"/>
  <c r="AM204" i="2"/>
  <c r="AN204" i="2" s="1"/>
  <c r="AH204" i="2"/>
  <c r="AI204" i="2" s="1"/>
  <c r="AC204" i="2"/>
  <c r="AD204" i="2" s="1"/>
  <c r="X204" i="2"/>
  <c r="Y204" i="2" s="1"/>
  <c r="S204" i="2"/>
  <c r="T204" i="2" s="1"/>
  <c r="N204" i="2"/>
  <c r="O204" i="2" s="1"/>
  <c r="D204" i="2"/>
  <c r="E204" i="2" s="1"/>
  <c r="AM203" i="2"/>
  <c r="AN203" i="2" s="1"/>
  <c r="AH203" i="2"/>
  <c r="AI203" i="2" s="1"/>
  <c r="AC203" i="2"/>
  <c r="AD203" i="2" s="1"/>
  <c r="X203" i="2"/>
  <c r="Y203" i="2" s="1"/>
  <c r="S203" i="2"/>
  <c r="T203" i="2" s="1"/>
  <c r="N203" i="2"/>
  <c r="O203" i="2" s="1"/>
  <c r="D203" i="2"/>
  <c r="E203" i="2" s="1"/>
  <c r="AM202" i="2"/>
  <c r="AN202" i="2" s="1"/>
  <c r="AH202" i="2"/>
  <c r="AI202" i="2" s="1"/>
  <c r="AC202" i="2"/>
  <c r="AD202" i="2" s="1"/>
  <c r="X202" i="2"/>
  <c r="Y202" i="2" s="1"/>
  <c r="S202" i="2"/>
  <c r="T202" i="2" s="1"/>
  <c r="N202" i="2"/>
  <c r="O202" i="2" s="1"/>
  <c r="D202" i="2"/>
  <c r="E202" i="2" s="1"/>
  <c r="AM201" i="2"/>
  <c r="AN201" i="2" s="1"/>
  <c r="AH201" i="2"/>
  <c r="AI201" i="2" s="1"/>
  <c r="AC201" i="2"/>
  <c r="AD201" i="2" s="1"/>
  <c r="X201" i="2"/>
  <c r="Y201" i="2" s="1"/>
  <c r="S201" i="2"/>
  <c r="T201" i="2" s="1"/>
  <c r="N201" i="2"/>
  <c r="O201" i="2" s="1"/>
  <c r="D201" i="2"/>
  <c r="E201" i="2" s="1"/>
  <c r="AM200" i="2"/>
  <c r="AN200" i="2" s="1"/>
  <c r="AH200" i="2"/>
  <c r="AI200" i="2" s="1"/>
  <c r="AC200" i="2"/>
  <c r="AD200" i="2" s="1"/>
  <c r="X200" i="2"/>
  <c r="Y200" i="2" s="1"/>
  <c r="S200" i="2"/>
  <c r="T200" i="2" s="1"/>
  <c r="N200" i="2"/>
  <c r="O200" i="2" s="1"/>
  <c r="D200" i="2"/>
  <c r="E200" i="2" s="1"/>
  <c r="AM199" i="2"/>
  <c r="AN199" i="2" s="1"/>
  <c r="AH199" i="2"/>
  <c r="AI199" i="2" s="1"/>
  <c r="AC199" i="2"/>
  <c r="AD199" i="2" s="1"/>
  <c r="X199" i="2"/>
  <c r="Y199" i="2" s="1"/>
  <c r="S199" i="2"/>
  <c r="T199" i="2" s="1"/>
  <c r="N199" i="2"/>
  <c r="O199" i="2" s="1"/>
  <c r="D199" i="2"/>
  <c r="E199" i="2" s="1"/>
  <c r="AM198" i="2"/>
  <c r="AN198" i="2" s="1"/>
  <c r="AH198" i="2"/>
  <c r="AI198" i="2" s="1"/>
  <c r="AC198" i="2"/>
  <c r="AD198" i="2" s="1"/>
  <c r="X198" i="2"/>
  <c r="Y198" i="2" s="1"/>
  <c r="S198" i="2"/>
  <c r="T198" i="2" s="1"/>
  <c r="N198" i="2"/>
  <c r="O198" i="2" s="1"/>
  <c r="D198" i="2"/>
  <c r="E198" i="2" s="1"/>
  <c r="AM197" i="2"/>
  <c r="AN197" i="2" s="1"/>
  <c r="AH197" i="2"/>
  <c r="AI197" i="2" s="1"/>
  <c r="AC197" i="2"/>
  <c r="AD197" i="2" s="1"/>
  <c r="X197" i="2"/>
  <c r="Y197" i="2" s="1"/>
  <c r="S197" i="2"/>
  <c r="T197" i="2" s="1"/>
  <c r="N197" i="2"/>
  <c r="O197" i="2" s="1"/>
  <c r="D197" i="2"/>
  <c r="E197" i="2" s="1"/>
  <c r="AM196" i="2"/>
  <c r="AN196" i="2" s="1"/>
  <c r="AH196" i="2"/>
  <c r="AI196" i="2" s="1"/>
  <c r="AC196" i="2"/>
  <c r="AD196" i="2" s="1"/>
  <c r="X196" i="2"/>
  <c r="Y196" i="2" s="1"/>
  <c r="S196" i="2"/>
  <c r="T196" i="2" s="1"/>
  <c r="N196" i="2"/>
  <c r="O196" i="2" s="1"/>
  <c r="D196" i="2"/>
  <c r="E196" i="2" s="1"/>
  <c r="AM195" i="2"/>
  <c r="AN195" i="2" s="1"/>
  <c r="AH195" i="2"/>
  <c r="AI195" i="2" s="1"/>
  <c r="AC195" i="2"/>
  <c r="AD195" i="2" s="1"/>
  <c r="X195" i="2"/>
  <c r="Y195" i="2" s="1"/>
  <c r="S195" i="2"/>
  <c r="T195" i="2" s="1"/>
  <c r="N195" i="2"/>
  <c r="O195" i="2" s="1"/>
  <c r="D195" i="2"/>
  <c r="E195" i="2" s="1"/>
  <c r="AM194" i="2"/>
  <c r="AN194" i="2" s="1"/>
  <c r="AH194" i="2"/>
  <c r="AI194" i="2" s="1"/>
  <c r="AC194" i="2"/>
  <c r="AD194" i="2" s="1"/>
  <c r="X194" i="2"/>
  <c r="Y194" i="2" s="1"/>
  <c r="S194" i="2"/>
  <c r="T194" i="2" s="1"/>
  <c r="N194" i="2"/>
  <c r="O194" i="2" s="1"/>
  <c r="D194" i="2"/>
  <c r="E194" i="2" s="1"/>
  <c r="AM193" i="2"/>
  <c r="AN193" i="2" s="1"/>
  <c r="AH193" i="2"/>
  <c r="AI193" i="2" s="1"/>
  <c r="AC193" i="2"/>
  <c r="AD193" i="2" s="1"/>
  <c r="X193" i="2"/>
  <c r="Y193" i="2" s="1"/>
  <c r="S193" i="2"/>
  <c r="T193" i="2" s="1"/>
  <c r="N193" i="2"/>
  <c r="O193" i="2" s="1"/>
  <c r="D193" i="2"/>
  <c r="E193" i="2" s="1"/>
  <c r="AM192" i="2"/>
  <c r="AN192" i="2" s="1"/>
  <c r="AH192" i="2"/>
  <c r="AI192" i="2" s="1"/>
  <c r="AC192" i="2"/>
  <c r="AD192" i="2" s="1"/>
  <c r="X192" i="2"/>
  <c r="Y192" i="2" s="1"/>
  <c r="S192" i="2"/>
  <c r="T192" i="2" s="1"/>
  <c r="N192" i="2"/>
  <c r="O192" i="2" s="1"/>
  <c r="D192" i="2"/>
  <c r="E192" i="2" s="1"/>
  <c r="AM191" i="2"/>
  <c r="AN191" i="2" s="1"/>
  <c r="AH191" i="2"/>
  <c r="AI191" i="2" s="1"/>
  <c r="AC191" i="2"/>
  <c r="AD191" i="2" s="1"/>
  <c r="X191" i="2"/>
  <c r="Y191" i="2" s="1"/>
  <c r="S191" i="2"/>
  <c r="T191" i="2" s="1"/>
  <c r="N191" i="2"/>
  <c r="O191" i="2" s="1"/>
  <c r="D191" i="2"/>
  <c r="E191" i="2" s="1"/>
  <c r="AM190" i="2"/>
  <c r="AN190" i="2" s="1"/>
  <c r="AH190" i="2"/>
  <c r="AI190" i="2" s="1"/>
  <c r="AC190" i="2"/>
  <c r="AD190" i="2" s="1"/>
  <c r="X190" i="2"/>
  <c r="Y190" i="2" s="1"/>
  <c r="S190" i="2"/>
  <c r="T190" i="2" s="1"/>
  <c r="N190" i="2"/>
  <c r="O190" i="2" s="1"/>
  <c r="D190" i="2"/>
  <c r="E190" i="2" s="1"/>
  <c r="AM189" i="2"/>
  <c r="AN189" i="2" s="1"/>
  <c r="AH189" i="2"/>
  <c r="AI189" i="2" s="1"/>
  <c r="AC189" i="2"/>
  <c r="AD189" i="2" s="1"/>
  <c r="X189" i="2"/>
  <c r="Y189" i="2" s="1"/>
  <c r="S189" i="2"/>
  <c r="T189" i="2" s="1"/>
  <c r="N189" i="2"/>
  <c r="O189" i="2" s="1"/>
  <c r="D189" i="2"/>
  <c r="E189" i="2" s="1"/>
  <c r="AM188" i="2"/>
  <c r="AN188" i="2" s="1"/>
  <c r="AH188" i="2"/>
  <c r="AI188" i="2" s="1"/>
  <c r="AC188" i="2"/>
  <c r="AD188" i="2" s="1"/>
  <c r="X188" i="2"/>
  <c r="Y188" i="2" s="1"/>
  <c r="S188" i="2"/>
  <c r="T188" i="2" s="1"/>
  <c r="N188" i="2"/>
  <c r="O188" i="2" s="1"/>
  <c r="D188" i="2"/>
  <c r="E188" i="2" s="1"/>
  <c r="AM187" i="2"/>
  <c r="AN187" i="2" s="1"/>
  <c r="AH187" i="2"/>
  <c r="AI187" i="2" s="1"/>
  <c r="AC187" i="2"/>
  <c r="AD187" i="2" s="1"/>
  <c r="X187" i="2"/>
  <c r="Y187" i="2" s="1"/>
  <c r="S187" i="2"/>
  <c r="T187" i="2" s="1"/>
  <c r="N187" i="2"/>
  <c r="O187" i="2" s="1"/>
  <c r="D187" i="2"/>
  <c r="E187" i="2" s="1"/>
  <c r="AM186" i="2"/>
  <c r="AN186" i="2" s="1"/>
  <c r="AH186" i="2"/>
  <c r="AI186" i="2" s="1"/>
  <c r="AC186" i="2"/>
  <c r="AD186" i="2" s="1"/>
  <c r="X186" i="2"/>
  <c r="Y186" i="2" s="1"/>
  <c r="S186" i="2"/>
  <c r="T186" i="2" s="1"/>
  <c r="N186" i="2"/>
  <c r="O186" i="2" s="1"/>
  <c r="D186" i="2"/>
  <c r="E186" i="2" s="1"/>
  <c r="AM185" i="2"/>
  <c r="AN185" i="2" s="1"/>
  <c r="AH185" i="2"/>
  <c r="AI185" i="2" s="1"/>
  <c r="AC185" i="2"/>
  <c r="AD185" i="2" s="1"/>
  <c r="X185" i="2"/>
  <c r="Y185" i="2" s="1"/>
  <c r="S185" i="2"/>
  <c r="T185" i="2" s="1"/>
  <c r="N185" i="2"/>
  <c r="O185" i="2" s="1"/>
  <c r="D185" i="2"/>
  <c r="E185" i="2" s="1"/>
  <c r="AM184" i="2"/>
  <c r="AN184" i="2" s="1"/>
  <c r="AH184" i="2"/>
  <c r="AI184" i="2" s="1"/>
  <c r="AC184" i="2"/>
  <c r="AD184" i="2" s="1"/>
  <c r="X184" i="2"/>
  <c r="Y184" i="2" s="1"/>
  <c r="S184" i="2"/>
  <c r="T184" i="2" s="1"/>
  <c r="N184" i="2"/>
  <c r="O184" i="2" s="1"/>
  <c r="D184" i="2"/>
  <c r="E184" i="2" s="1"/>
  <c r="AM183" i="2"/>
  <c r="AN183" i="2" s="1"/>
  <c r="AH183" i="2"/>
  <c r="AI183" i="2" s="1"/>
  <c r="AC183" i="2"/>
  <c r="AD183" i="2" s="1"/>
  <c r="X183" i="2"/>
  <c r="Y183" i="2" s="1"/>
  <c r="S183" i="2"/>
  <c r="T183" i="2" s="1"/>
  <c r="N183" i="2"/>
  <c r="O183" i="2" s="1"/>
  <c r="D183" i="2"/>
  <c r="E183" i="2" s="1"/>
  <c r="AM182" i="2"/>
  <c r="AN182" i="2" s="1"/>
  <c r="AH182" i="2"/>
  <c r="AI182" i="2" s="1"/>
  <c r="AC182" i="2"/>
  <c r="AD182" i="2" s="1"/>
  <c r="X182" i="2"/>
  <c r="Y182" i="2" s="1"/>
  <c r="S182" i="2"/>
  <c r="T182" i="2" s="1"/>
  <c r="N182" i="2"/>
  <c r="O182" i="2" s="1"/>
  <c r="D182" i="2"/>
  <c r="E182" i="2" s="1"/>
  <c r="AM181" i="2"/>
  <c r="AN181" i="2" s="1"/>
  <c r="AH181" i="2"/>
  <c r="AI181" i="2" s="1"/>
  <c r="AC181" i="2"/>
  <c r="AD181" i="2" s="1"/>
  <c r="X181" i="2"/>
  <c r="Y181" i="2" s="1"/>
  <c r="S181" i="2"/>
  <c r="T181" i="2" s="1"/>
  <c r="N181" i="2"/>
  <c r="O181" i="2" s="1"/>
  <c r="D181" i="2"/>
  <c r="E181" i="2" s="1"/>
  <c r="AM180" i="2"/>
  <c r="AN180" i="2" s="1"/>
  <c r="AH180" i="2"/>
  <c r="AI180" i="2" s="1"/>
  <c r="AC180" i="2"/>
  <c r="AD180" i="2" s="1"/>
  <c r="X180" i="2"/>
  <c r="Y180" i="2" s="1"/>
  <c r="S180" i="2"/>
  <c r="T180" i="2" s="1"/>
  <c r="N180" i="2"/>
  <c r="O180" i="2" s="1"/>
  <c r="D180" i="2"/>
  <c r="E180" i="2" s="1"/>
  <c r="AM179" i="2"/>
  <c r="AN179" i="2" s="1"/>
  <c r="AH179" i="2"/>
  <c r="AI179" i="2" s="1"/>
  <c r="AC179" i="2"/>
  <c r="AD179" i="2" s="1"/>
  <c r="X179" i="2"/>
  <c r="Y179" i="2" s="1"/>
  <c r="S179" i="2"/>
  <c r="T179" i="2" s="1"/>
  <c r="N179" i="2"/>
  <c r="O179" i="2" s="1"/>
  <c r="D179" i="2"/>
  <c r="E179" i="2" s="1"/>
  <c r="AM178" i="2"/>
  <c r="AN178" i="2" s="1"/>
  <c r="AH178" i="2"/>
  <c r="AI178" i="2" s="1"/>
  <c r="AC178" i="2"/>
  <c r="AD178" i="2" s="1"/>
  <c r="X178" i="2"/>
  <c r="Y178" i="2" s="1"/>
  <c r="S178" i="2"/>
  <c r="T178" i="2" s="1"/>
  <c r="N178" i="2"/>
  <c r="O178" i="2" s="1"/>
  <c r="D178" i="2"/>
  <c r="E178" i="2" s="1"/>
  <c r="AM177" i="2"/>
  <c r="AN177" i="2" s="1"/>
  <c r="AH177" i="2"/>
  <c r="AI177" i="2" s="1"/>
  <c r="AC177" i="2"/>
  <c r="AD177" i="2" s="1"/>
  <c r="X177" i="2"/>
  <c r="Y177" i="2" s="1"/>
  <c r="S177" i="2"/>
  <c r="T177" i="2" s="1"/>
  <c r="N177" i="2"/>
  <c r="O177" i="2" s="1"/>
  <c r="D177" i="2"/>
  <c r="E177" i="2" s="1"/>
  <c r="AM176" i="2"/>
  <c r="AN176" i="2" s="1"/>
  <c r="AH176" i="2"/>
  <c r="AI176" i="2" s="1"/>
  <c r="AC176" i="2"/>
  <c r="AD176" i="2" s="1"/>
  <c r="X176" i="2"/>
  <c r="Y176" i="2" s="1"/>
  <c r="S176" i="2"/>
  <c r="T176" i="2" s="1"/>
  <c r="N176" i="2"/>
  <c r="O176" i="2" s="1"/>
  <c r="D176" i="2"/>
  <c r="E176" i="2" s="1"/>
  <c r="AM175" i="2"/>
  <c r="AN175" i="2" s="1"/>
  <c r="AH175" i="2"/>
  <c r="AI175" i="2" s="1"/>
  <c r="AC175" i="2"/>
  <c r="AD175" i="2" s="1"/>
  <c r="X175" i="2"/>
  <c r="Y175" i="2" s="1"/>
  <c r="S175" i="2"/>
  <c r="T175" i="2" s="1"/>
  <c r="N175" i="2"/>
  <c r="O175" i="2" s="1"/>
  <c r="D175" i="2"/>
  <c r="E175" i="2" s="1"/>
  <c r="AM174" i="2"/>
  <c r="AN174" i="2" s="1"/>
  <c r="AH174" i="2"/>
  <c r="AI174" i="2" s="1"/>
  <c r="AC174" i="2"/>
  <c r="AD174" i="2" s="1"/>
  <c r="X174" i="2"/>
  <c r="Y174" i="2" s="1"/>
  <c r="S174" i="2"/>
  <c r="T174" i="2" s="1"/>
  <c r="N174" i="2"/>
  <c r="O174" i="2" s="1"/>
  <c r="D174" i="2"/>
  <c r="E174" i="2" s="1"/>
  <c r="AM173" i="2"/>
  <c r="AN173" i="2" s="1"/>
  <c r="AH173" i="2"/>
  <c r="AI173" i="2" s="1"/>
  <c r="AC173" i="2"/>
  <c r="AD173" i="2" s="1"/>
  <c r="X173" i="2"/>
  <c r="Y173" i="2" s="1"/>
  <c r="S173" i="2"/>
  <c r="T173" i="2" s="1"/>
  <c r="N173" i="2"/>
  <c r="O173" i="2" s="1"/>
  <c r="D173" i="2"/>
  <c r="E173" i="2" s="1"/>
  <c r="AM172" i="2"/>
  <c r="AN172" i="2" s="1"/>
  <c r="AH172" i="2"/>
  <c r="AI172" i="2" s="1"/>
  <c r="AC172" i="2"/>
  <c r="AD172" i="2" s="1"/>
  <c r="X172" i="2"/>
  <c r="Y172" i="2" s="1"/>
  <c r="S172" i="2"/>
  <c r="T172" i="2" s="1"/>
  <c r="N172" i="2"/>
  <c r="O172" i="2" s="1"/>
  <c r="D172" i="2"/>
  <c r="E172" i="2" s="1"/>
  <c r="AM171" i="2"/>
  <c r="AN171" i="2" s="1"/>
  <c r="AH171" i="2"/>
  <c r="AI171" i="2" s="1"/>
  <c r="AC171" i="2"/>
  <c r="AD171" i="2" s="1"/>
  <c r="X171" i="2"/>
  <c r="Y171" i="2" s="1"/>
  <c r="S171" i="2"/>
  <c r="T171" i="2" s="1"/>
  <c r="N171" i="2"/>
  <c r="O171" i="2" s="1"/>
  <c r="D171" i="2"/>
  <c r="E171" i="2" s="1"/>
  <c r="AM170" i="2"/>
  <c r="AN170" i="2" s="1"/>
  <c r="AH170" i="2"/>
  <c r="AI170" i="2" s="1"/>
  <c r="AC170" i="2"/>
  <c r="AD170" i="2" s="1"/>
  <c r="X170" i="2"/>
  <c r="Y170" i="2" s="1"/>
  <c r="S170" i="2"/>
  <c r="T170" i="2" s="1"/>
  <c r="N170" i="2"/>
  <c r="O170" i="2" s="1"/>
  <c r="D170" i="2"/>
  <c r="E170" i="2" s="1"/>
  <c r="AM169" i="2"/>
  <c r="AN169" i="2" s="1"/>
  <c r="AH169" i="2"/>
  <c r="AI169" i="2" s="1"/>
  <c r="AC169" i="2"/>
  <c r="AD169" i="2" s="1"/>
  <c r="X169" i="2"/>
  <c r="Y169" i="2" s="1"/>
  <c r="S169" i="2"/>
  <c r="T169" i="2" s="1"/>
  <c r="N169" i="2"/>
  <c r="O169" i="2" s="1"/>
  <c r="D169" i="2"/>
  <c r="E169" i="2" s="1"/>
  <c r="AM168" i="2"/>
  <c r="AN168" i="2" s="1"/>
  <c r="AH168" i="2"/>
  <c r="AI168" i="2" s="1"/>
  <c r="AC168" i="2"/>
  <c r="AD168" i="2" s="1"/>
  <c r="X168" i="2"/>
  <c r="Y168" i="2" s="1"/>
  <c r="S168" i="2"/>
  <c r="T168" i="2" s="1"/>
  <c r="N168" i="2"/>
  <c r="O168" i="2" s="1"/>
  <c r="D168" i="2"/>
  <c r="E168" i="2" s="1"/>
  <c r="AM167" i="2"/>
  <c r="AN167" i="2" s="1"/>
  <c r="AH167" i="2"/>
  <c r="AI167" i="2" s="1"/>
  <c r="AC167" i="2"/>
  <c r="AD167" i="2" s="1"/>
  <c r="X167" i="2"/>
  <c r="Y167" i="2" s="1"/>
  <c r="S167" i="2"/>
  <c r="T167" i="2" s="1"/>
  <c r="N167" i="2"/>
  <c r="O167" i="2" s="1"/>
  <c r="D167" i="2"/>
  <c r="E167" i="2" s="1"/>
  <c r="AM166" i="2"/>
  <c r="AN166" i="2" s="1"/>
  <c r="AH166" i="2"/>
  <c r="AI166" i="2" s="1"/>
  <c r="AC166" i="2"/>
  <c r="AD166" i="2" s="1"/>
  <c r="X166" i="2"/>
  <c r="Y166" i="2" s="1"/>
  <c r="S166" i="2"/>
  <c r="T166" i="2" s="1"/>
  <c r="N166" i="2"/>
  <c r="O166" i="2" s="1"/>
  <c r="D166" i="2"/>
  <c r="E166" i="2" s="1"/>
  <c r="AM165" i="2"/>
  <c r="AN165" i="2" s="1"/>
  <c r="AH165" i="2"/>
  <c r="AI165" i="2" s="1"/>
  <c r="AC165" i="2"/>
  <c r="AD165" i="2" s="1"/>
  <c r="X165" i="2"/>
  <c r="Y165" i="2" s="1"/>
  <c r="S165" i="2"/>
  <c r="T165" i="2" s="1"/>
  <c r="N165" i="2"/>
  <c r="O165" i="2" s="1"/>
  <c r="D165" i="2"/>
  <c r="E165" i="2" s="1"/>
  <c r="AM164" i="2"/>
  <c r="AN164" i="2" s="1"/>
  <c r="AH164" i="2"/>
  <c r="AI164" i="2" s="1"/>
  <c r="AC164" i="2"/>
  <c r="AD164" i="2" s="1"/>
  <c r="X164" i="2"/>
  <c r="Y164" i="2" s="1"/>
  <c r="S164" i="2"/>
  <c r="T164" i="2" s="1"/>
  <c r="N164" i="2"/>
  <c r="O164" i="2" s="1"/>
  <c r="D164" i="2"/>
  <c r="E164" i="2" s="1"/>
  <c r="AM163" i="2"/>
  <c r="AN163" i="2" s="1"/>
  <c r="AH163" i="2"/>
  <c r="AI163" i="2" s="1"/>
  <c r="AC163" i="2"/>
  <c r="AD163" i="2" s="1"/>
  <c r="X163" i="2"/>
  <c r="Y163" i="2" s="1"/>
  <c r="S163" i="2"/>
  <c r="T163" i="2" s="1"/>
  <c r="N163" i="2"/>
  <c r="O163" i="2" s="1"/>
  <c r="D163" i="2"/>
  <c r="E163" i="2" s="1"/>
  <c r="AM162" i="2"/>
  <c r="AN162" i="2" s="1"/>
  <c r="AH162" i="2"/>
  <c r="AI162" i="2" s="1"/>
  <c r="AC162" i="2"/>
  <c r="AD162" i="2" s="1"/>
  <c r="X162" i="2"/>
  <c r="Y162" i="2" s="1"/>
  <c r="S162" i="2"/>
  <c r="T162" i="2" s="1"/>
  <c r="N162" i="2"/>
  <c r="O162" i="2" s="1"/>
  <c r="D162" i="2"/>
  <c r="E162" i="2" s="1"/>
  <c r="AM161" i="2"/>
  <c r="AN161" i="2" s="1"/>
  <c r="AH161" i="2"/>
  <c r="AI161" i="2" s="1"/>
  <c r="AC161" i="2"/>
  <c r="AD161" i="2" s="1"/>
  <c r="X161" i="2"/>
  <c r="Y161" i="2" s="1"/>
  <c r="S161" i="2"/>
  <c r="T161" i="2" s="1"/>
  <c r="N161" i="2"/>
  <c r="O161" i="2" s="1"/>
  <c r="D161" i="2"/>
  <c r="E161" i="2" s="1"/>
  <c r="AM160" i="2"/>
  <c r="AN160" i="2" s="1"/>
  <c r="AH160" i="2"/>
  <c r="AI160" i="2" s="1"/>
  <c r="AC160" i="2"/>
  <c r="AD160" i="2" s="1"/>
  <c r="X160" i="2"/>
  <c r="Y160" i="2" s="1"/>
  <c r="S160" i="2"/>
  <c r="T160" i="2" s="1"/>
  <c r="N160" i="2"/>
  <c r="O160" i="2" s="1"/>
  <c r="D160" i="2"/>
  <c r="E160" i="2" s="1"/>
  <c r="AM159" i="2"/>
  <c r="AN159" i="2" s="1"/>
  <c r="AH159" i="2"/>
  <c r="AI159" i="2" s="1"/>
  <c r="AC159" i="2"/>
  <c r="AD159" i="2" s="1"/>
  <c r="X159" i="2"/>
  <c r="Y159" i="2" s="1"/>
  <c r="S159" i="2"/>
  <c r="T159" i="2" s="1"/>
  <c r="N159" i="2"/>
  <c r="O159" i="2" s="1"/>
  <c r="D159" i="2"/>
  <c r="E159" i="2" s="1"/>
  <c r="AM158" i="2"/>
  <c r="AN158" i="2" s="1"/>
  <c r="AH158" i="2"/>
  <c r="AI158" i="2" s="1"/>
  <c r="AC158" i="2"/>
  <c r="AD158" i="2" s="1"/>
  <c r="X158" i="2"/>
  <c r="Y158" i="2" s="1"/>
  <c r="S158" i="2"/>
  <c r="T158" i="2" s="1"/>
  <c r="N158" i="2"/>
  <c r="O158" i="2" s="1"/>
  <c r="D158" i="2"/>
  <c r="E158" i="2" s="1"/>
  <c r="AM157" i="2"/>
  <c r="AN157" i="2" s="1"/>
  <c r="AH157" i="2"/>
  <c r="AI157" i="2" s="1"/>
  <c r="AC157" i="2"/>
  <c r="AD157" i="2" s="1"/>
  <c r="X157" i="2"/>
  <c r="Y157" i="2" s="1"/>
  <c r="S157" i="2"/>
  <c r="T157" i="2" s="1"/>
  <c r="N157" i="2"/>
  <c r="O157" i="2" s="1"/>
  <c r="D157" i="2"/>
  <c r="E157" i="2" s="1"/>
  <c r="AM156" i="2"/>
  <c r="AN156" i="2" s="1"/>
  <c r="AH156" i="2"/>
  <c r="AI156" i="2" s="1"/>
  <c r="AC156" i="2"/>
  <c r="AD156" i="2" s="1"/>
  <c r="X156" i="2"/>
  <c r="Y156" i="2" s="1"/>
  <c r="S156" i="2"/>
  <c r="T156" i="2" s="1"/>
  <c r="O156" i="2"/>
  <c r="N156" i="2"/>
  <c r="D156" i="2"/>
  <c r="E156" i="2" s="1"/>
  <c r="AM155" i="2"/>
  <c r="AN155" i="2" s="1"/>
  <c r="AH155" i="2"/>
  <c r="AI155" i="2" s="1"/>
  <c r="AC155" i="2"/>
  <c r="AD155" i="2" s="1"/>
  <c r="X155" i="2"/>
  <c r="Y155" i="2" s="1"/>
  <c r="S155" i="2"/>
  <c r="T155" i="2" s="1"/>
  <c r="N155" i="2"/>
  <c r="O155" i="2" s="1"/>
  <c r="D155" i="2"/>
  <c r="E155" i="2" s="1"/>
  <c r="AM154" i="2"/>
  <c r="AN154" i="2" s="1"/>
  <c r="AH154" i="2"/>
  <c r="AI154" i="2" s="1"/>
  <c r="AC154" i="2"/>
  <c r="AD154" i="2" s="1"/>
  <c r="X154" i="2"/>
  <c r="Y154" i="2" s="1"/>
  <c r="S154" i="2"/>
  <c r="T154" i="2" s="1"/>
  <c r="N154" i="2"/>
  <c r="O154" i="2" s="1"/>
  <c r="D154" i="2"/>
  <c r="E154" i="2" s="1"/>
  <c r="AM153" i="2"/>
  <c r="AN153" i="2" s="1"/>
  <c r="AH153" i="2"/>
  <c r="AI153" i="2" s="1"/>
  <c r="AC153" i="2"/>
  <c r="AD153" i="2" s="1"/>
  <c r="X153" i="2"/>
  <c r="Y153" i="2" s="1"/>
  <c r="S153" i="2"/>
  <c r="T153" i="2" s="1"/>
  <c r="N153" i="2"/>
  <c r="O153" i="2" s="1"/>
  <c r="D153" i="2"/>
  <c r="E153" i="2" s="1"/>
  <c r="AM152" i="2"/>
  <c r="AN152" i="2" s="1"/>
  <c r="AH152" i="2"/>
  <c r="AI152" i="2" s="1"/>
  <c r="AC152" i="2"/>
  <c r="AD152" i="2" s="1"/>
  <c r="X152" i="2"/>
  <c r="Y152" i="2" s="1"/>
  <c r="S152" i="2"/>
  <c r="T152" i="2" s="1"/>
  <c r="N152" i="2"/>
  <c r="O152" i="2" s="1"/>
  <c r="D152" i="2"/>
  <c r="E152" i="2" s="1"/>
  <c r="AM151" i="2"/>
  <c r="AN151" i="2" s="1"/>
  <c r="AH151" i="2"/>
  <c r="AI151" i="2" s="1"/>
  <c r="AC151" i="2"/>
  <c r="AD151" i="2" s="1"/>
  <c r="X151" i="2"/>
  <c r="Y151" i="2" s="1"/>
  <c r="S151" i="2"/>
  <c r="T151" i="2" s="1"/>
  <c r="N151" i="2"/>
  <c r="O151" i="2" s="1"/>
  <c r="D151" i="2"/>
  <c r="E151" i="2" s="1"/>
  <c r="AM150" i="2"/>
  <c r="AN150" i="2" s="1"/>
  <c r="AH150" i="2"/>
  <c r="AI150" i="2" s="1"/>
  <c r="AC150" i="2"/>
  <c r="AD150" i="2" s="1"/>
  <c r="X150" i="2"/>
  <c r="Y150" i="2" s="1"/>
  <c r="S150" i="2"/>
  <c r="T150" i="2" s="1"/>
  <c r="N150" i="2"/>
  <c r="O150" i="2" s="1"/>
  <c r="D150" i="2"/>
  <c r="E150" i="2" s="1"/>
  <c r="AM149" i="2"/>
  <c r="AN149" i="2" s="1"/>
  <c r="AH149" i="2"/>
  <c r="AI149" i="2" s="1"/>
  <c r="AC149" i="2"/>
  <c r="AD149" i="2" s="1"/>
  <c r="X149" i="2"/>
  <c r="Y149" i="2" s="1"/>
  <c r="S149" i="2"/>
  <c r="T149" i="2" s="1"/>
  <c r="N149" i="2"/>
  <c r="O149" i="2" s="1"/>
  <c r="D149" i="2"/>
  <c r="E149" i="2" s="1"/>
  <c r="AM148" i="2"/>
  <c r="AN148" i="2" s="1"/>
  <c r="AH148" i="2"/>
  <c r="AI148" i="2" s="1"/>
  <c r="AC148" i="2"/>
  <c r="AD148" i="2" s="1"/>
  <c r="X148" i="2"/>
  <c r="Y148" i="2" s="1"/>
  <c r="S148" i="2"/>
  <c r="T148" i="2" s="1"/>
  <c r="N148" i="2"/>
  <c r="O148" i="2" s="1"/>
  <c r="D148" i="2"/>
  <c r="E148" i="2" s="1"/>
  <c r="AM147" i="2"/>
  <c r="AN147" i="2" s="1"/>
  <c r="AH147" i="2"/>
  <c r="AI147" i="2" s="1"/>
  <c r="AC147" i="2"/>
  <c r="AD147" i="2" s="1"/>
  <c r="X147" i="2"/>
  <c r="Y147" i="2" s="1"/>
  <c r="S147" i="2"/>
  <c r="T147" i="2" s="1"/>
  <c r="N147" i="2"/>
  <c r="O147" i="2" s="1"/>
  <c r="D147" i="2"/>
  <c r="E147" i="2" s="1"/>
  <c r="AM146" i="2"/>
  <c r="AN146" i="2" s="1"/>
  <c r="AH146" i="2"/>
  <c r="AI146" i="2" s="1"/>
  <c r="AC146" i="2"/>
  <c r="AD146" i="2" s="1"/>
  <c r="X146" i="2"/>
  <c r="Y146" i="2" s="1"/>
  <c r="S146" i="2"/>
  <c r="T146" i="2" s="1"/>
  <c r="N146" i="2"/>
  <c r="O146" i="2" s="1"/>
  <c r="D146" i="2"/>
  <c r="E146" i="2" s="1"/>
  <c r="AM145" i="2"/>
  <c r="AN145" i="2" s="1"/>
  <c r="AH145" i="2"/>
  <c r="AI145" i="2" s="1"/>
  <c r="AC145" i="2"/>
  <c r="AD145" i="2" s="1"/>
  <c r="X145" i="2"/>
  <c r="Y145" i="2" s="1"/>
  <c r="S145" i="2"/>
  <c r="T145" i="2" s="1"/>
  <c r="N145" i="2"/>
  <c r="O145" i="2" s="1"/>
  <c r="D145" i="2"/>
  <c r="E145" i="2" s="1"/>
  <c r="AM144" i="2"/>
  <c r="AN144" i="2" s="1"/>
  <c r="AH144" i="2"/>
  <c r="AI144" i="2" s="1"/>
  <c r="AC144" i="2"/>
  <c r="AD144" i="2" s="1"/>
  <c r="X144" i="2"/>
  <c r="Y144" i="2" s="1"/>
  <c r="S144" i="2"/>
  <c r="T144" i="2" s="1"/>
  <c r="N144" i="2"/>
  <c r="O144" i="2" s="1"/>
  <c r="D144" i="2"/>
  <c r="E144" i="2" s="1"/>
  <c r="AM143" i="2"/>
  <c r="AN143" i="2" s="1"/>
  <c r="AH143" i="2"/>
  <c r="AI143" i="2" s="1"/>
  <c r="AC143" i="2"/>
  <c r="AD143" i="2" s="1"/>
  <c r="X143" i="2"/>
  <c r="Y143" i="2" s="1"/>
  <c r="S143" i="2"/>
  <c r="T143" i="2" s="1"/>
  <c r="N143" i="2"/>
  <c r="O143" i="2" s="1"/>
  <c r="D143" i="2"/>
  <c r="E143" i="2" s="1"/>
  <c r="AM142" i="2"/>
  <c r="AN142" i="2" s="1"/>
  <c r="AH142" i="2"/>
  <c r="AI142" i="2" s="1"/>
  <c r="AC142" i="2"/>
  <c r="AD142" i="2" s="1"/>
  <c r="X142" i="2"/>
  <c r="Y142" i="2" s="1"/>
  <c r="S142" i="2"/>
  <c r="T142" i="2" s="1"/>
  <c r="N142" i="2"/>
  <c r="O142" i="2" s="1"/>
  <c r="D142" i="2"/>
  <c r="E142" i="2" s="1"/>
  <c r="AM141" i="2"/>
  <c r="AN141" i="2" s="1"/>
  <c r="AH141" i="2"/>
  <c r="AI141" i="2" s="1"/>
  <c r="AC141" i="2"/>
  <c r="AD141" i="2" s="1"/>
  <c r="X141" i="2"/>
  <c r="Y141" i="2" s="1"/>
  <c r="S141" i="2"/>
  <c r="T141" i="2" s="1"/>
  <c r="N141" i="2"/>
  <c r="O141" i="2" s="1"/>
  <c r="D141" i="2"/>
  <c r="E141" i="2" s="1"/>
  <c r="AM140" i="2"/>
  <c r="AN140" i="2" s="1"/>
  <c r="AH140" i="2"/>
  <c r="AI140" i="2" s="1"/>
  <c r="AC140" i="2"/>
  <c r="AD140" i="2" s="1"/>
  <c r="X140" i="2"/>
  <c r="Y140" i="2" s="1"/>
  <c r="S140" i="2"/>
  <c r="T140" i="2" s="1"/>
  <c r="N140" i="2"/>
  <c r="O140" i="2" s="1"/>
  <c r="D140" i="2"/>
  <c r="E140" i="2" s="1"/>
  <c r="AM139" i="2"/>
  <c r="AN139" i="2" s="1"/>
  <c r="AH139" i="2"/>
  <c r="AI139" i="2" s="1"/>
  <c r="AC139" i="2"/>
  <c r="AD139" i="2" s="1"/>
  <c r="X139" i="2"/>
  <c r="Y139" i="2" s="1"/>
  <c r="S139" i="2"/>
  <c r="T139" i="2" s="1"/>
  <c r="N139" i="2"/>
  <c r="O139" i="2" s="1"/>
  <c r="D139" i="2"/>
  <c r="E139" i="2" s="1"/>
  <c r="AM138" i="2"/>
  <c r="AN138" i="2" s="1"/>
  <c r="AH138" i="2"/>
  <c r="AI138" i="2" s="1"/>
  <c r="AC138" i="2"/>
  <c r="AD138" i="2" s="1"/>
  <c r="X138" i="2"/>
  <c r="Y138" i="2" s="1"/>
  <c r="S138" i="2"/>
  <c r="T138" i="2" s="1"/>
  <c r="N138" i="2"/>
  <c r="O138" i="2" s="1"/>
  <c r="D138" i="2"/>
  <c r="E138" i="2" s="1"/>
  <c r="AM137" i="2"/>
  <c r="AN137" i="2" s="1"/>
  <c r="AH137" i="2"/>
  <c r="AI137" i="2" s="1"/>
  <c r="AC137" i="2"/>
  <c r="AD137" i="2" s="1"/>
  <c r="X137" i="2"/>
  <c r="Y137" i="2" s="1"/>
  <c r="S137" i="2"/>
  <c r="T137" i="2" s="1"/>
  <c r="N137" i="2"/>
  <c r="O137" i="2" s="1"/>
  <c r="D137" i="2"/>
  <c r="E137" i="2" s="1"/>
  <c r="AM136" i="2"/>
  <c r="AN136" i="2" s="1"/>
  <c r="AH136" i="2"/>
  <c r="AI136" i="2" s="1"/>
  <c r="AC136" i="2"/>
  <c r="AD136" i="2" s="1"/>
  <c r="X136" i="2"/>
  <c r="Y136" i="2" s="1"/>
  <c r="S136" i="2"/>
  <c r="T136" i="2" s="1"/>
  <c r="N136" i="2"/>
  <c r="O136" i="2" s="1"/>
  <c r="D136" i="2"/>
  <c r="E136" i="2" s="1"/>
  <c r="AM135" i="2"/>
  <c r="AN135" i="2" s="1"/>
  <c r="AH135" i="2"/>
  <c r="AI135" i="2" s="1"/>
  <c r="AC135" i="2"/>
  <c r="AD135" i="2" s="1"/>
  <c r="X135" i="2"/>
  <c r="Y135" i="2" s="1"/>
  <c r="S135" i="2"/>
  <c r="T135" i="2" s="1"/>
  <c r="N135" i="2"/>
  <c r="O135" i="2" s="1"/>
  <c r="D135" i="2"/>
  <c r="E135" i="2" s="1"/>
  <c r="AM134" i="2"/>
  <c r="AN134" i="2" s="1"/>
  <c r="AH134" i="2"/>
  <c r="AI134" i="2" s="1"/>
  <c r="AC134" i="2"/>
  <c r="AD134" i="2" s="1"/>
  <c r="X134" i="2"/>
  <c r="Y134" i="2" s="1"/>
  <c r="S134" i="2"/>
  <c r="T134" i="2" s="1"/>
  <c r="N134" i="2"/>
  <c r="O134" i="2" s="1"/>
  <c r="D134" i="2"/>
  <c r="E134" i="2" s="1"/>
  <c r="AM133" i="2"/>
  <c r="AN133" i="2" s="1"/>
  <c r="AH133" i="2"/>
  <c r="AI133" i="2" s="1"/>
  <c r="AC133" i="2"/>
  <c r="AD133" i="2" s="1"/>
  <c r="X133" i="2"/>
  <c r="Y133" i="2" s="1"/>
  <c r="S133" i="2"/>
  <c r="T133" i="2" s="1"/>
  <c r="N133" i="2"/>
  <c r="O133" i="2" s="1"/>
  <c r="D133" i="2"/>
  <c r="E133" i="2" s="1"/>
  <c r="AM132" i="2"/>
  <c r="AN132" i="2" s="1"/>
  <c r="AH132" i="2"/>
  <c r="AI132" i="2" s="1"/>
  <c r="AC132" i="2"/>
  <c r="AD132" i="2" s="1"/>
  <c r="X132" i="2"/>
  <c r="Y132" i="2" s="1"/>
  <c r="S132" i="2"/>
  <c r="T132" i="2" s="1"/>
  <c r="N132" i="2"/>
  <c r="O132" i="2" s="1"/>
  <c r="D132" i="2"/>
  <c r="E132" i="2" s="1"/>
  <c r="AM131" i="2"/>
  <c r="AN131" i="2" s="1"/>
  <c r="AH131" i="2"/>
  <c r="AI131" i="2" s="1"/>
  <c r="AC131" i="2"/>
  <c r="AD131" i="2" s="1"/>
  <c r="X131" i="2"/>
  <c r="Y131" i="2" s="1"/>
  <c r="S131" i="2"/>
  <c r="T131" i="2" s="1"/>
  <c r="N131" i="2"/>
  <c r="O131" i="2" s="1"/>
  <c r="D131" i="2"/>
  <c r="E131" i="2" s="1"/>
  <c r="AM130" i="2"/>
  <c r="AN130" i="2" s="1"/>
  <c r="AH130" i="2"/>
  <c r="AI130" i="2" s="1"/>
  <c r="AC130" i="2"/>
  <c r="AD130" i="2" s="1"/>
  <c r="X130" i="2"/>
  <c r="Y130" i="2" s="1"/>
  <c r="S130" i="2"/>
  <c r="T130" i="2" s="1"/>
  <c r="N130" i="2"/>
  <c r="O130" i="2" s="1"/>
  <c r="D130" i="2"/>
  <c r="E130" i="2" s="1"/>
  <c r="AM129" i="2"/>
  <c r="AN129" i="2" s="1"/>
  <c r="AH129" i="2"/>
  <c r="AI129" i="2" s="1"/>
  <c r="AC129" i="2"/>
  <c r="AD129" i="2" s="1"/>
  <c r="X129" i="2"/>
  <c r="Y129" i="2" s="1"/>
  <c r="S129" i="2"/>
  <c r="T129" i="2" s="1"/>
  <c r="N129" i="2"/>
  <c r="O129" i="2" s="1"/>
  <c r="D129" i="2"/>
  <c r="E129" i="2" s="1"/>
  <c r="AM128" i="2"/>
  <c r="AN128" i="2" s="1"/>
  <c r="AH128" i="2"/>
  <c r="AI128" i="2" s="1"/>
  <c r="AC128" i="2"/>
  <c r="AD128" i="2" s="1"/>
  <c r="X128" i="2"/>
  <c r="Y128" i="2" s="1"/>
  <c r="S128" i="2"/>
  <c r="T128" i="2" s="1"/>
  <c r="N128" i="2"/>
  <c r="O128" i="2" s="1"/>
  <c r="D128" i="2"/>
  <c r="E128" i="2" s="1"/>
  <c r="AM127" i="2"/>
  <c r="AN127" i="2" s="1"/>
  <c r="AH127" i="2"/>
  <c r="AI127" i="2" s="1"/>
  <c r="AC127" i="2"/>
  <c r="AD127" i="2" s="1"/>
  <c r="X127" i="2"/>
  <c r="Y127" i="2" s="1"/>
  <c r="S127" i="2"/>
  <c r="T127" i="2" s="1"/>
  <c r="N127" i="2"/>
  <c r="O127" i="2" s="1"/>
  <c r="D127" i="2"/>
  <c r="E127" i="2" s="1"/>
  <c r="AM126" i="2"/>
  <c r="AN126" i="2" s="1"/>
  <c r="AH126" i="2"/>
  <c r="AI126" i="2" s="1"/>
  <c r="AC126" i="2"/>
  <c r="AD126" i="2" s="1"/>
  <c r="X126" i="2"/>
  <c r="Y126" i="2" s="1"/>
  <c r="S126" i="2"/>
  <c r="T126" i="2" s="1"/>
  <c r="N126" i="2"/>
  <c r="O126" i="2" s="1"/>
  <c r="D126" i="2"/>
  <c r="E126" i="2" s="1"/>
  <c r="AM125" i="2"/>
  <c r="AN125" i="2" s="1"/>
  <c r="AH125" i="2"/>
  <c r="AI125" i="2" s="1"/>
  <c r="AC125" i="2"/>
  <c r="AD125" i="2" s="1"/>
  <c r="X125" i="2"/>
  <c r="Y125" i="2" s="1"/>
  <c r="S125" i="2"/>
  <c r="T125" i="2" s="1"/>
  <c r="N125" i="2"/>
  <c r="O125" i="2" s="1"/>
  <c r="D125" i="2"/>
  <c r="E125" i="2" s="1"/>
  <c r="AM124" i="2"/>
  <c r="AN124" i="2" s="1"/>
  <c r="AH124" i="2"/>
  <c r="AI124" i="2" s="1"/>
  <c r="AC124" i="2"/>
  <c r="AD124" i="2" s="1"/>
  <c r="X124" i="2"/>
  <c r="Y124" i="2" s="1"/>
  <c r="S124" i="2"/>
  <c r="T124" i="2" s="1"/>
  <c r="N124" i="2"/>
  <c r="O124" i="2" s="1"/>
  <c r="D124" i="2"/>
  <c r="E124" i="2" s="1"/>
  <c r="AM123" i="2"/>
  <c r="AN123" i="2" s="1"/>
  <c r="AH123" i="2"/>
  <c r="AI123" i="2" s="1"/>
  <c r="AC123" i="2"/>
  <c r="AD123" i="2" s="1"/>
  <c r="X123" i="2"/>
  <c r="Y123" i="2" s="1"/>
  <c r="S123" i="2"/>
  <c r="T123" i="2" s="1"/>
  <c r="N123" i="2"/>
  <c r="O123" i="2" s="1"/>
  <c r="D123" i="2"/>
  <c r="E123" i="2" s="1"/>
  <c r="AM122" i="2"/>
  <c r="AN122" i="2" s="1"/>
  <c r="AH122" i="2"/>
  <c r="AI122" i="2" s="1"/>
  <c r="AC122" i="2"/>
  <c r="AD122" i="2" s="1"/>
  <c r="X122" i="2"/>
  <c r="Y122" i="2" s="1"/>
  <c r="S122" i="2"/>
  <c r="T122" i="2" s="1"/>
  <c r="N122" i="2"/>
  <c r="O122" i="2" s="1"/>
  <c r="D122" i="2"/>
  <c r="E122" i="2" s="1"/>
  <c r="AM121" i="2"/>
  <c r="AN121" i="2" s="1"/>
  <c r="AH121" i="2"/>
  <c r="AI121" i="2" s="1"/>
  <c r="AC121" i="2"/>
  <c r="AD121" i="2" s="1"/>
  <c r="X121" i="2"/>
  <c r="Y121" i="2" s="1"/>
  <c r="S121" i="2"/>
  <c r="T121" i="2" s="1"/>
  <c r="N121" i="2"/>
  <c r="O121" i="2" s="1"/>
  <c r="D121" i="2"/>
  <c r="E121" i="2" s="1"/>
  <c r="AM120" i="2"/>
  <c r="AN120" i="2" s="1"/>
  <c r="AH120" i="2"/>
  <c r="AI120" i="2" s="1"/>
  <c r="AC120" i="2"/>
  <c r="AD120" i="2" s="1"/>
  <c r="X120" i="2"/>
  <c r="Y120" i="2" s="1"/>
  <c r="S120" i="2"/>
  <c r="T120" i="2" s="1"/>
  <c r="N120" i="2"/>
  <c r="O120" i="2" s="1"/>
  <c r="D120" i="2"/>
  <c r="E120" i="2" s="1"/>
  <c r="AM119" i="2"/>
  <c r="AN119" i="2" s="1"/>
  <c r="AH119" i="2"/>
  <c r="AI119" i="2" s="1"/>
  <c r="AC119" i="2"/>
  <c r="AD119" i="2" s="1"/>
  <c r="X119" i="2"/>
  <c r="Y119" i="2" s="1"/>
  <c r="S119" i="2"/>
  <c r="T119" i="2" s="1"/>
  <c r="N119" i="2"/>
  <c r="O119" i="2" s="1"/>
  <c r="D119" i="2"/>
  <c r="E119" i="2" s="1"/>
  <c r="AM118" i="2"/>
  <c r="AN118" i="2" s="1"/>
  <c r="AH118" i="2"/>
  <c r="AI118" i="2" s="1"/>
  <c r="AC118" i="2"/>
  <c r="AD118" i="2" s="1"/>
  <c r="X118" i="2"/>
  <c r="Y118" i="2" s="1"/>
  <c r="S118" i="2"/>
  <c r="T118" i="2" s="1"/>
  <c r="N118" i="2"/>
  <c r="O118" i="2" s="1"/>
  <c r="D118" i="2"/>
  <c r="E118" i="2" s="1"/>
  <c r="AM117" i="2"/>
  <c r="AN117" i="2" s="1"/>
  <c r="AH117" i="2"/>
  <c r="AI117" i="2" s="1"/>
  <c r="AC117" i="2"/>
  <c r="AD117" i="2" s="1"/>
  <c r="X117" i="2"/>
  <c r="Y117" i="2" s="1"/>
  <c r="S117" i="2"/>
  <c r="T117" i="2" s="1"/>
  <c r="N117" i="2"/>
  <c r="O117" i="2" s="1"/>
  <c r="D117" i="2"/>
  <c r="E117" i="2" s="1"/>
  <c r="AM116" i="2"/>
  <c r="AN116" i="2" s="1"/>
  <c r="AH116" i="2"/>
  <c r="AI116" i="2" s="1"/>
  <c r="AC116" i="2"/>
  <c r="AD116" i="2" s="1"/>
  <c r="X116" i="2"/>
  <c r="Y116" i="2" s="1"/>
  <c r="S116" i="2"/>
  <c r="T116" i="2" s="1"/>
  <c r="N116" i="2"/>
  <c r="O116" i="2" s="1"/>
  <c r="D116" i="2"/>
  <c r="E116" i="2" s="1"/>
  <c r="AM115" i="2"/>
  <c r="AN115" i="2" s="1"/>
  <c r="AH115" i="2"/>
  <c r="AI115" i="2" s="1"/>
  <c r="AC115" i="2"/>
  <c r="AD115" i="2" s="1"/>
  <c r="X115" i="2"/>
  <c r="Y115" i="2" s="1"/>
  <c r="S115" i="2"/>
  <c r="T115" i="2" s="1"/>
  <c r="N115" i="2"/>
  <c r="O115" i="2" s="1"/>
  <c r="D115" i="2"/>
  <c r="E115" i="2" s="1"/>
  <c r="AM114" i="2"/>
  <c r="AN114" i="2" s="1"/>
  <c r="AH114" i="2"/>
  <c r="AI114" i="2" s="1"/>
  <c r="AC114" i="2"/>
  <c r="AD114" i="2" s="1"/>
  <c r="X114" i="2"/>
  <c r="Y114" i="2" s="1"/>
  <c r="S114" i="2"/>
  <c r="T114" i="2" s="1"/>
  <c r="N114" i="2"/>
  <c r="O114" i="2" s="1"/>
  <c r="D114" i="2"/>
  <c r="E114" i="2" s="1"/>
  <c r="AM113" i="2"/>
  <c r="AN113" i="2" s="1"/>
  <c r="AH113" i="2"/>
  <c r="AI113" i="2" s="1"/>
  <c r="AC113" i="2"/>
  <c r="AD113" i="2" s="1"/>
  <c r="X113" i="2"/>
  <c r="Y113" i="2" s="1"/>
  <c r="S113" i="2"/>
  <c r="T113" i="2" s="1"/>
  <c r="N113" i="2"/>
  <c r="O113" i="2" s="1"/>
  <c r="D113" i="2"/>
  <c r="E113" i="2" s="1"/>
  <c r="AM112" i="2"/>
  <c r="AN112" i="2" s="1"/>
  <c r="AH112" i="2"/>
  <c r="AI112" i="2" s="1"/>
  <c r="AC112" i="2"/>
  <c r="AD112" i="2" s="1"/>
  <c r="X112" i="2"/>
  <c r="Y112" i="2" s="1"/>
  <c r="S112" i="2"/>
  <c r="T112" i="2" s="1"/>
  <c r="N112" i="2"/>
  <c r="O112" i="2" s="1"/>
  <c r="D112" i="2"/>
  <c r="E112" i="2" s="1"/>
  <c r="AM111" i="2"/>
  <c r="AN111" i="2" s="1"/>
  <c r="AH111" i="2"/>
  <c r="AI111" i="2" s="1"/>
  <c r="AC111" i="2"/>
  <c r="AD111" i="2" s="1"/>
  <c r="X111" i="2"/>
  <c r="Y111" i="2" s="1"/>
  <c r="S111" i="2"/>
  <c r="T111" i="2" s="1"/>
  <c r="N111" i="2"/>
  <c r="O111" i="2" s="1"/>
  <c r="D111" i="2"/>
  <c r="E111" i="2" s="1"/>
  <c r="AM110" i="2"/>
  <c r="AN110" i="2" s="1"/>
  <c r="AH110" i="2"/>
  <c r="AI110" i="2" s="1"/>
  <c r="AC110" i="2"/>
  <c r="AD110" i="2" s="1"/>
  <c r="X110" i="2"/>
  <c r="Y110" i="2" s="1"/>
  <c r="S110" i="2"/>
  <c r="T110" i="2" s="1"/>
  <c r="N110" i="2"/>
  <c r="O110" i="2" s="1"/>
  <c r="D110" i="2"/>
  <c r="E110" i="2" s="1"/>
  <c r="AM109" i="2"/>
  <c r="AN109" i="2" s="1"/>
  <c r="AH109" i="2"/>
  <c r="AI109" i="2" s="1"/>
  <c r="AC109" i="2"/>
  <c r="AD109" i="2" s="1"/>
  <c r="X109" i="2"/>
  <c r="Y109" i="2" s="1"/>
  <c r="S109" i="2"/>
  <c r="T109" i="2" s="1"/>
  <c r="N109" i="2"/>
  <c r="O109" i="2" s="1"/>
  <c r="D109" i="2"/>
  <c r="E109" i="2" s="1"/>
  <c r="AM108" i="2"/>
  <c r="AN108" i="2" s="1"/>
  <c r="AH108" i="2"/>
  <c r="AI108" i="2" s="1"/>
  <c r="AC108" i="2"/>
  <c r="AD108" i="2" s="1"/>
  <c r="X108" i="2"/>
  <c r="Y108" i="2" s="1"/>
  <c r="S108" i="2"/>
  <c r="T108" i="2" s="1"/>
  <c r="N108" i="2"/>
  <c r="O108" i="2" s="1"/>
  <c r="D108" i="2"/>
  <c r="E108" i="2" s="1"/>
  <c r="AM107" i="2"/>
  <c r="AN107" i="2" s="1"/>
  <c r="AH107" i="2"/>
  <c r="AI107" i="2" s="1"/>
  <c r="AC107" i="2"/>
  <c r="AD107" i="2" s="1"/>
  <c r="X107" i="2"/>
  <c r="Y107" i="2" s="1"/>
  <c r="S107" i="2"/>
  <c r="T107" i="2" s="1"/>
  <c r="N107" i="2"/>
  <c r="O107" i="2" s="1"/>
  <c r="D107" i="2"/>
  <c r="E107" i="2" s="1"/>
  <c r="AM106" i="2"/>
  <c r="AN106" i="2" s="1"/>
  <c r="AH106" i="2"/>
  <c r="AI106" i="2" s="1"/>
  <c r="AC106" i="2"/>
  <c r="AD106" i="2" s="1"/>
  <c r="X106" i="2"/>
  <c r="Y106" i="2" s="1"/>
  <c r="S106" i="2"/>
  <c r="T106" i="2" s="1"/>
  <c r="N106" i="2"/>
  <c r="O106" i="2" s="1"/>
  <c r="D106" i="2"/>
  <c r="E106" i="2" s="1"/>
  <c r="AM105" i="2"/>
  <c r="AN105" i="2" s="1"/>
  <c r="AH105" i="2"/>
  <c r="AI105" i="2" s="1"/>
  <c r="AC105" i="2"/>
  <c r="AD105" i="2" s="1"/>
  <c r="X105" i="2"/>
  <c r="Y105" i="2" s="1"/>
  <c r="S105" i="2"/>
  <c r="T105" i="2" s="1"/>
  <c r="N105" i="2"/>
  <c r="O105" i="2" s="1"/>
  <c r="D105" i="2"/>
  <c r="E105" i="2" s="1"/>
  <c r="AM104" i="2"/>
  <c r="AN104" i="2" s="1"/>
  <c r="AH104" i="2"/>
  <c r="AI104" i="2" s="1"/>
  <c r="AC104" i="2"/>
  <c r="AD104" i="2" s="1"/>
  <c r="X104" i="2"/>
  <c r="Y104" i="2" s="1"/>
  <c r="S104" i="2"/>
  <c r="T104" i="2" s="1"/>
  <c r="N104" i="2"/>
  <c r="O104" i="2" s="1"/>
  <c r="D104" i="2"/>
  <c r="E104" i="2" s="1"/>
  <c r="AM103" i="2"/>
  <c r="AN103" i="2" s="1"/>
  <c r="AH103" i="2"/>
  <c r="AI103" i="2" s="1"/>
  <c r="AC103" i="2"/>
  <c r="AD103" i="2" s="1"/>
  <c r="X103" i="2"/>
  <c r="Y103" i="2" s="1"/>
  <c r="S103" i="2"/>
  <c r="T103" i="2" s="1"/>
  <c r="N103" i="2"/>
  <c r="O103" i="2" s="1"/>
  <c r="D103" i="2"/>
  <c r="E103" i="2" s="1"/>
  <c r="AM102" i="2"/>
  <c r="AN102" i="2" s="1"/>
  <c r="AH102" i="2"/>
  <c r="AI102" i="2" s="1"/>
  <c r="AC102" i="2"/>
  <c r="AD102" i="2" s="1"/>
  <c r="X102" i="2"/>
  <c r="Y102" i="2" s="1"/>
  <c r="S102" i="2"/>
  <c r="T102" i="2" s="1"/>
  <c r="N102" i="2"/>
  <c r="O102" i="2" s="1"/>
  <c r="D102" i="2"/>
  <c r="E102" i="2" s="1"/>
  <c r="AM101" i="2"/>
  <c r="AN101" i="2" s="1"/>
  <c r="AH101" i="2"/>
  <c r="AI101" i="2" s="1"/>
  <c r="AC101" i="2"/>
  <c r="AD101" i="2" s="1"/>
  <c r="X101" i="2"/>
  <c r="Y101" i="2" s="1"/>
  <c r="S101" i="2"/>
  <c r="T101" i="2" s="1"/>
  <c r="N101" i="2"/>
  <c r="O101" i="2" s="1"/>
  <c r="D101" i="2"/>
  <c r="E101" i="2" s="1"/>
  <c r="AM100" i="2"/>
  <c r="AN100" i="2" s="1"/>
  <c r="AH100" i="2"/>
  <c r="AI100" i="2" s="1"/>
  <c r="AC100" i="2"/>
  <c r="AD100" i="2" s="1"/>
  <c r="X100" i="2"/>
  <c r="Y100" i="2" s="1"/>
  <c r="S100" i="2"/>
  <c r="T100" i="2" s="1"/>
  <c r="N100" i="2"/>
  <c r="O100" i="2" s="1"/>
  <c r="D100" i="2"/>
  <c r="E100" i="2" s="1"/>
  <c r="AM99" i="2"/>
  <c r="AN99" i="2" s="1"/>
  <c r="AH99" i="2"/>
  <c r="AI99" i="2" s="1"/>
  <c r="AC99" i="2"/>
  <c r="AD99" i="2" s="1"/>
  <c r="X99" i="2"/>
  <c r="Y99" i="2" s="1"/>
  <c r="S99" i="2"/>
  <c r="T99" i="2" s="1"/>
  <c r="N99" i="2"/>
  <c r="O99" i="2" s="1"/>
  <c r="D99" i="2"/>
  <c r="E99" i="2" s="1"/>
  <c r="AM98" i="2"/>
  <c r="AN98" i="2" s="1"/>
  <c r="AH98" i="2"/>
  <c r="AI98" i="2" s="1"/>
  <c r="AC98" i="2"/>
  <c r="AD98" i="2" s="1"/>
  <c r="X98" i="2"/>
  <c r="Y98" i="2" s="1"/>
  <c r="S98" i="2"/>
  <c r="T98" i="2" s="1"/>
  <c r="N98" i="2"/>
  <c r="O98" i="2" s="1"/>
  <c r="D98" i="2"/>
  <c r="E98" i="2" s="1"/>
  <c r="AM97" i="2"/>
  <c r="AN97" i="2" s="1"/>
  <c r="AH97" i="2"/>
  <c r="AI97" i="2" s="1"/>
  <c r="AC97" i="2"/>
  <c r="AD97" i="2" s="1"/>
  <c r="X97" i="2"/>
  <c r="Y97" i="2" s="1"/>
  <c r="S97" i="2"/>
  <c r="T97" i="2" s="1"/>
  <c r="N97" i="2"/>
  <c r="O97" i="2" s="1"/>
  <c r="D97" i="2"/>
  <c r="E97" i="2" s="1"/>
  <c r="AM96" i="2"/>
  <c r="AN96" i="2" s="1"/>
  <c r="AH96" i="2"/>
  <c r="AI96" i="2" s="1"/>
  <c r="AC96" i="2"/>
  <c r="AD96" i="2" s="1"/>
  <c r="X96" i="2"/>
  <c r="Y96" i="2" s="1"/>
  <c r="S96" i="2"/>
  <c r="T96" i="2" s="1"/>
  <c r="N96" i="2"/>
  <c r="O96" i="2" s="1"/>
  <c r="D96" i="2"/>
  <c r="E96" i="2" s="1"/>
  <c r="AM95" i="2"/>
  <c r="AN95" i="2" s="1"/>
  <c r="AH95" i="2"/>
  <c r="AI95" i="2" s="1"/>
  <c r="AC95" i="2"/>
  <c r="AD95" i="2" s="1"/>
  <c r="X95" i="2"/>
  <c r="Y95" i="2" s="1"/>
  <c r="S95" i="2"/>
  <c r="T95" i="2" s="1"/>
  <c r="N95" i="2"/>
  <c r="O95" i="2" s="1"/>
  <c r="D95" i="2"/>
  <c r="E95" i="2" s="1"/>
  <c r="AM94" i="2"/>
  <c r="AN94" i="2" s="1"/>
  <c r="AH94" i="2"/>
  <c r="AI94" i="2" s="1"/>
  <c r="AC94" i="2"/>
  <c r="AD94" i="2" s="1"/>
  <c r="X94" i="2"/>
  <c r="Y94" i="2" s="1"/>
  <c r="S94" i="2"/>
  <c r="T94" i="2" s="1"/>
  <c r="N94" i="2"/>
  <c r="O94" i="2" s="1"/>
  <c r="D94" i="2"/>
  <c r="E94" i="2" s="1"/>
  <c r="AM93" i="2"/>
  <c r="AN93" i="2" s="1"/>
  <c r="AH93" i="2"/>
  <c r="AI93" i="2" s="1"/>
  <c r="AC93" i="2"/>
  <c r="AD93" i="2" s="1"/>
  <c r="X93" i="2"/>
  <c r="Y93" i="2" s="1"/>
  <c r="S93" i="2"/>
  <c r="T93" i="2" s="1"/>
  <c r="N93" i="2"/>
  <c r="O93" i="2" s="1"/>
  <c r="D93" i="2"/>
  <c r="E93" i="2" s="1"/>
  <c r="AM92" i="2"/>
  <c r="AN92" i="2" s="1"/>
  <c r="AH92" i="2"/>
  <c r="AI92" i="2" s="1"/>
  <c r="AC92" i="2"/>
  <c r="AD92" i="2" s="1"/>
  <c r="X92" i="2"/>
  <c r="Y92" i="2" s="1"/>
  <c r="S92" i="2"/>
  <c r="T92" i="2" s="1"/>
  <c r="N92" i="2"/>
  <c r="O92" i="2" s="1"/>
  <c r="D92" i="2"/>
  <c r="E92" i="2" s="1"/>
  <c r="AM91" i="2"/>
  <c r="AN91" i="2" s="1"/>
  <c r="AH91" i="2"/>
  <c r="AI91" i="2" s="1"/>
  <c r="AC91" i="2"/>
  <c r="AD91" i="2" s="1"/>
  <c r="X91" i="2"/>
  <c r="Y91" i="2" s="1"/>
  <c r="S91" i="2"/>
  <c r="T91" i="2" s="1"/>
  <c r="N91" i="2"/>
  <c r="O91" i="2" s="1"/>
  <c r="D91" i="2"/>
  <c r="E91" i="2" s="1"/>
  <c r="AM90" i="2"/>
  <c r="AN90" i="2" s="1"/>
  <c r="AH90" i="2"/>
  <c r="AI90" i="2" s="1"/>
  <c r="AC90" i="2"/>
  <c r="AD90" i="2" s="1"/>
  <c r="X90" i="2"/>
  <c r="Y90" i="2" s="1"/>
  <c r="S90" i="2"/>
  <c r="T90" i="2" s="1"/>
  <c r="N90" i="2"/>
  <c r="O90" i="2" s="1"/>
  <c r="D90" i="2"/>
  <c r="E90" i="2" s="1"/>
  <c r="AM89" i="2"/>
  <c r="AN89" i="2" s="1"/>
  <c r="AH89" i="2"/>
  <c r="AI89" i="2" s="1"/>
  <c r="AC89" i="2"/>
  <c r="AD89" i="2" s="1"/>
  <c r="X89" i="2"/>
  <c r="Y89" i="2" s="1"/>
  <c r="S89" i="2"/>
  <c r="T89" i="2" s="1"/>
  <c r="N89" i="2"/>
  <c r="O89" i="2" s="1"/>
  <c r="D89" i="2"/>
  <c r="E89" i="2" s="1"/>
  <c r="AM88" i="2"/>
  <c r="AN88" i="2" s="1"/>
  <c r="AH88" i="2"/>
  <c r="AI88" i="2" s="1"/>
  <c r="AC88" i="2"/>
  <c r="AD88" i="2" s="1"/>
  <c r="X88" i="2"/>
  <c r="Y88" i="2" s="1"/>
  <c r="S88" i="2"/>
  <c r="T88" i="2" s="1"/>
  <c r="N88" i="2"/>
  <c r="O88" i="2" s="1"/>
  <c r="D88" i="2"/>
  <c r="E88" i="2" s="1"/>
  <c r="AM87" i="2"/>
  <c r="AN87" i="2" s="1"/>
  <c r="AH87" i="2"/>
  <c r="AI87" i="2" s="1"/>
  <c r="AC87" i="2"/>
  <c r="AD87" i="2" s="1"/>
  <c r="X87" i="2"/>
  <c r="Y87" i="2" s="1"/>
  <c r="S87" i="2"/>
  <c r="T87" i="2" s="1"/>
  <c r="N87" i="2"/>
  <c r="O87" i="2" s="1"/>
  <c r="D87" i="2"/>
  <c r="E87" i="2" s="1"/>
  <c r="AM86" i="2"/>
  <c r="AN86" i="2" s="1"/>
  <c r="AH86" i="2"/>
  <c r="AI86" i="2" s="1"/>
  <c r="AC86" i="2"/>
  <c r="AD86" i="2" s="1"/>
  <c r="X86" i="2"/>
  <c r="Y86" i="2" s="1"/>
  <c r="S86" i="2"/>
  <c r="T86" i="2" s="1"/>
  <c r="N86" i="2"/>
  <c r="O86" i="2" s="1"/>
  <c r="D86" i="2"/>
  <c r="E86" i="2" s="1"/>
  <c r="AM85" i="2"/>
  <c r="AN85" i="2" s="1"/>
  <c r="AH85" i="2"/>
  <c r="AI85" i="2" s="1"/>
  <c r="AC85" i="2"/>
  <c r="AD85" i="2" s="1"/>
  <c r="X85" i="2"/>
  <c r="Y85" i="2" s="1"/>
  <c r="S85" i="2"/>
  <c r="T85" i="2" s="1"/>
  <c r="N85" i="2"/>
  <c r="O85" i="2" s="1"/>
  <c r="D85" i="2"/>
  <c r="E85" i="2" s="1"/>
  <c r="AM84" i="2"/>
  <c r="AN84" i="2" s="1"/>
  <c r="AH84" i="2"/>
  <c r="AI84" i="2" s="1"/>
  <c r="AC84" i="2"/>
  <c r="AD84" i="2" s="1"/>
  <c r="X84" i="2"/>
  <c r="Y84" i="2" s="1"/>
  <c r="S84" i="2"/>
  <c r="T84" i="2" s="1"/>
  <c r="N84" i="2"/>
  <c r="O84" i="2" s="1"/>
  <c r="D84" i="2"/>
  <c r="E84" i="2" s="1"/>
  <c r="AM83" i="2"/>
  <c r="AN83" i="2" s="1"/>
  <c r="AH83" i="2"/>
  <c r="AI83" i="2" s="1"/>
  <c r="AC83" i="2"/>
  <c r="AD83" i="2" s="1"/>
  <c r="X83" i="2"/>
  <c r="Y83" i="2" s="1"/>
  <c r="S83" i="2"/>
  <c r="T83" i="2" s="1"/>
  <c r="N83" i="2"/>
  <c r="O83" i="2" s="1"/>
  <c r="D83" i="2"/>
  <c r="E83" i="2" s="1"/>
  <c r="AM82" i="2"/>
  <c r="AN82" i="2" s="1"/>
  <c r="AH82" i="2"/>
  <c r="AI82" i="2" s="1"/>
  <c r="AC82" i="2"/>
  <c r="AD82" i="2" s="1"/>
  <c r="X82" i="2"/>
  <c r="Y82" i="2" s="1"/>
  <c r="S82" i="2"/>
  <c r="T82" i="2" s="1"/>
  <c r="N82" i="2"/>
  <c r="O82" i="2" s="1"/>
  <c r="D82" i="2"/>
  <c r="E82" i="2" s="1"/>
  <c r="AM81" i="2"/>
  <c r="AN81" i="2" s="1"/>
  <c r="AH81" i="2"/>
  <c r="AI81" i="2" s="1"/>
  <c r="AC81" i="2"/>
  <c r="AD81" i="2" s="1"/>
  <c r="X81" i="2"/>
  <c r="Y81" i="2" s="1"/>
  <c r="S81" i="2"/>
  <c r="T81" i="2" s="1"/>
  <c r="N81" i="2"/>
  <c r="O81" i="2" s="1"/>
  <c r="D81" i="2"/>
  <c r="E81" i="2" s="1"/>
  <c r="AM80" i="2"/>
  <c r="AN80" i="2" s="1"/>
  <c r="AH80" i="2"/>
  <c r="AI80" i="2" s="1"/>
  <c r="AC80" i="2"/>
  <c r="AD80" i="2" s="1"/>
  <c r="X80" i="2"/>
  <c r="Y80" i="2" s="1"/>
  <c r="S80" i="2"/>
  <c r="T80" i="2" s="1"/>
  <c r="N80" i="2"/>
  <c r="O80" i="2" s="1"/>
  <c r="D80" i="2"/>
  <c r="E80" i="2" s="1"/>
  <c r="AM79" i="2"/>
  <c r="AN79" i="2" s="1"/>
  <c r="AH79" i="2"/>
  <c r="AI79" i="2" s="1"/>
  <c r="AC79" i="2"/>
  <c r="AD79" i="2" s="1"/>
  <c r="X79" i="2"/>
  <c r="Y79" i="2" s="1"/>
  <c r="S79" i="2"/>
  <c r="T79" i="2" s="1"/>
  <c r="N79" i="2"/>
  <c r="O79" i="2" s="1"/>
  <c r="D79" i="2"/>
  <c r="E79" i="2" s="1"/>
  <c r="AM78" i="2"/>
  <c r="AN78" i="2" s="1"/>
  <c r="AH78" i="2"/>
  <c r="AI78" i="2" s="1"/>
  <c r="AC78" i="2"/>
  <c r="AD78" i="2" s="1"/>
  <c r="X78" i="2"/>
  <c r="Y78" i="2" s="1"/>
  <c r="S78" i="2"/>
  <c r="T78" i="2" s="1"/>
  <c r="N78" i="2"/>
  <c r="O78" i="2" s="1"/>
  <c r="D78" i="2"/>
  <c r="E78" i="2" s="1"/>
  <c r="AM77" i="2"/>
  <c r="AN77" i="2" s="1"/>
  <c r="AH77" i="2"/>
  <c r="AI77" i="2" s="1"/>
  <c r="AC77" i="2"/>
  <c r="AD77" i="2" s="1"/>
  <c r="X77" i="2"/>
  <c r="Y77" i="2" s="1"/>
  <c r="S77" i="2"/>
  <c r="T77" i="2" s="1"/>
  <c r="N77" i="2"/>
  <c r="O77" i="2" s="1"/>
  <c r="D77" i="2"/>
  <c r="E77" i="2" s="1"/>
  <c r="AM76" i="2"/>
  <c r="AN76" i="2" s="1"/>
  <c r="AH76" i="2"/>
  <c r="AI76" i="2" s="1"/>
  <c r="AC76" i="2"/>
  <c r="AD76" i="2" s="1"/>
  <c r="X76" i="2"/>
  <c r="Y76" i="2" s="1"/>
  <c r="S76" i="2"/>
  <c r="T76" i="2" s="1"/>
  <c r="N76" i="2"/>
  <c r="O76" i="2" s="1"/>
  <c r="D76" i="2"/>
  <c r="E76" i="2" s="1"/>
  <c r="AM75" i="2"/>
  <c r="AN75" i="2" s="1"/>
  <c r="AH75" i="2"/>
  <c r="AI75" i="2" s="1"/>
  <c r="AC75" i="2"/>
  <c r="AD75" i="2" s="1"/>
  <c r="X75" i="2"/>
  <c r="Y75" i="2" s="1"/>
  <c r="S75" i="2"/>
  <c r="T75" i="2" s="1"/>
  <c r="N75" i="2"/>
  <c r="O75" i="2" s="1"/>
  <c r="D75" i="2"/>
  <c r="E75" i="2" s="1"/>
  <c r="AM74" i="2"/>
  <c r="AN74" i="2" s="1"/>
  <c r="AH74" i="2"/>
  <c r="AI74" i="2" s="1"/>
  <c r="AC74" i="2"/>
  <c r="AD74" i="2" s="1"/>
  <c r="X74" i="2"/>
  <c r="Y74" i="2" s="1"/>
  <c r="S74" i="2"/>
  <c r="T74" i="2" s="1"/>
  <c r="N74" i="2"/>
  <c r="O74" i="2" s="1"/>
  <c r="D74" i="2"/>
  <c r="E74" i="2" s="1"/>
  <c r="AM73" i="2"/>
  <c r="AN73" i="2" s="1"/>
  <c r="AH73" i="2"/>
  <c r="AI73" i="2" s="1"/>
  <c r="AC73" i="2"/>
  <c r="AD73" i="2" s="1"/>
  <c r="X73" i="2"/>
  <c r="Y73" i="2" s="1"/>
  <c r="S73" i="2"/>
  <c r="T73" i="2" s="1"/>
  <c r="N73" i="2"/>
  <c r="O73" i="2" s="1"/>
  <c r="D73" i="2"/>
  <c r="E73" i="2" s="1"/>
  <c r="AM72" i="2"/>
  <c r="AN72" i="2" s="1"/>
  <c r="AH72" i="2"/>
  <c r="AI72" i="2" s="1"/>
  <c r="AC72" i="2"/>
  <c r="AD72" i="2" s="1"/>
  <c r="X72" i="2"/>
  <c r="Y72" i="2" s="1"/>
  <c r="S72" i="2"/>
  <c r="T72" i="2" s="1"/>
  <c r="N72" i="2"/>
  <c r="O72" i="2" s="1"/>
  <c r="D72" i="2"/>
  <c r="E72" i="2" s="1"/>
  <c r="AM71" i="2"/>
  <c r="AN71" i="2" s="1"/>
  <c r="AH71" i="2"/>
  <c r="AI71" i="2" s="1"/>
  <c r="AC71" i="2"/>
  <c r="AD71" i="2" s="1"/>
  <c r="X71" i="2"/>
  <c r="Y71" i="2" s="1"/>
  <c r="S71" i="2"/>
  <c r="T71" i="2" s="1"/>
  <c r="N71" i="2"/>
  <c r="O71" i="2" s="1"/>
  <c r="D71" i="2"/>
  <c r="E71" i="2" s="1"/>
  <c r="AM70" i="2"/>
  <c r="AN70" i="2" s="1"/>
  <c r="AH70" i="2"/>
  <c r="AI70" i="2" s="1"/>
  <c r="AC70" i="2"/>
  <c r="AD70" i="2" s="1"/>
  <c r="X70" i="2"/>
  <c r="Y70" i="2" s="1"/>
  <c r="S70" i="2"/>
  <c r="T70" i="2" s="1"/>
  <c r="N70" i="2"/>
  <c r="O70" i="2" s="1"/>
  <c r="D70" i="2"/>
  <c r="E70" i="2" s="1"/>
  <c r="AM69" i="2"/>
  <c r="AN69" i="2" s="1"/>
  <c r="AH69" i="2"/>
  <c r="AI69" i="2" s="1"/>
  <c r="AC69" i="2"/>
  <c r="AD69" i="2" s="1"/>
  <c r="X69" i="2"/>
  <c r="Y69" i="2" s="1"/>
  <c r="S69" i="2"/>
  <c r="T69" i="2" s="1"/>
  <c r="N69" i="2"/>
  <c r="O69" i="2" s="1"/>
  <c r="D69" i="2"/>
  <c r="E69" i="2" s="1"/>
  <c r="AM68" i="2"/>
  <c r="AN68" i="2" s="1"/>
  <c r="AH68" i="2"/>
  <c r="AI68" i="2" s="1"/>
  <c r="AC68" i="2"/>
  <c r="AD68" i="2" s="1"/>
  <c r="X68" i="2"/>
  <c r="Y68" i="2" s="1"/>
  <c r="S68" i="2"/>
  <c r="T68" i="2" s="1"/>
  <c r="N68" i="2"/>
  <c r="O68" i="2" s="1"/>
  <c r="D68" i="2"/>
  <c r="E68" i="2" s="1"/>
  <c r="AM67" i="2"/>
  <c r="AN67" i="2" s="1"/>
  <c r="AH67" i="2"/>
  <c r="AI67" i="2" s="1"/>
  <c r="AC67" i="2"/>
  <c r="AD67" i="2" s="1"/>
  <c r="X67" i="2"/>
  <c r="Y67" i="2" s="1"/>
  <c r="S67" i="2"/>
  <c r="T67" i="2" s="1"/>
  <c r="N67" i="2"/>
  <c r="O67" i="2" s="1"/>
  <c r="D67" i="2"/>
  <c r="E67" i="2" s="1"/>
  <c r="AM66" i="2"/>
  <c r="AN66" i="2" s="1"/>
  <c r="AH66" i="2"/>
  <c r="AI66" i="2" s="1"/>
  <c r="AC66" i="2"/>
  <c r="AD66" i="2" s="1"/>
  <c r="X66" i="2"/>
  <c r="Y66" i="2" s="1"/>
  <c r="S66" i="2"/>
  <c r="T66" i="2" s="1"/>
  <c r="N66" i="2"/>
  <c r="O66" i="2" s="1"/>
  <c r="D66" i="2"/>
  <c r="E66" i="2" s="1"/>
  <c r="AM65" i="2"/>
  <c r="AN65" i="2" s="1"/>
  <c r="AH65" i="2"/>
  <c r="AI65" i="2" s="1"/>
  <c r="AC65" i="2"/>
  <c r="AD65" i="2" s="1"/>
  <c r="X65" i="2"/>
  <c r="Y65" i="2" s="1"/>
  <c r="S65" i="2"/>
  <c r="T65" i="2" s="1"/>
  <c r="N65" i="2"/>
  <c r="O65" i="2" s="1"/>
  <c r="D65" i="2"/>
  <c r="E65" i="2" s="1"/>
  <c r="AM64" i="2"/>
  <c r="AN64" i="2" s="1"/>
  <c r="AH64" i="2"/>
  <c r="AI64" i="2" s="1"/>
  <c r="AC64" i="2"/>
  <c r="AD64" i="2" s="1"/>
  <c r="X64" i="2"/>
  <c r="Y64" i="2" s="1"/>
  <c r="S64" i="2"/>
  <c r="T64" i="2" s="1"/>
  <c r="N64" i="2"/>
  <c r="O64" i="2" s="1"/>
  <c r="D64" i="2"/>
  <c r="E64" i="2" s="1"/>
  <c r="AM63" i="2"/>
  <c r="AN63" i="2" s="1"/>
  <c r="AH63" i="2"/>
  <c r="AI63" i="2" s="1"/>
  <c r="AC63" i="2"/>
  <c r="AD63" i="2" s="1"/>
  <c r="X63" i="2"/>
  <c r="Y63" i="2" s="1"/>
  <c r="S63" i="2"/>
  <c r="T63" i="2" s="1"/>
  <c r="N63" i="2"/>
  <c r="O63" i="2" s="1"/>
  <c r="D63" i="2"/>
  <c r="E63" i="2" s="1"/>
  <c r="AM62" i="2"/>
  <c r="AN62" i="2" s="1"/>
  <c r="AH62" i="2"/>
  <c r="AI62" i="2" s="1"/>
  <c r="AC62" i="2"/>
  <c r="AD62" i="2" s="1"/>
  <c r="X62" i="2"/>
  <c r="Y62" i="2" s="1"/>
  <c r="S62" i="2"/>
  <c r="T62" i="2" s="1"/>
  <c r="N62" i="2"/>
  <c r="O62" i="2" s="1"/>
  <c r="D62" i="2"/>
  <c r="E62" i="2" s="1"/>
  <c r="AM61" i="2"/>
  <c r="AN61" i="2" s="1"/>
  <c r="AH61" i="2"/>
  <c r="AI61" i="2" s="1"/>
  <c r="AC61" i="2"/>
  <c r="AD61" i="2" s="1"/>
  <c r="X61" i="2"/>
  <c r="Y61" i="2" s="1"/>
  <c r="S61" i="2"/>
  <c r="T61" i="2" s="1"/>
  <c r="N61" i="2"/>
  <c r="O61" i="2" s="1"/>
  <c r="D61" i="2"/>
  <c r="E61" i="2" s="1"/>
  <c r="AM60" i="2"/>
  <c r="AN60" i="2" s="1"/>
  <c r="AH60" i="2"/>
  <c r="AI60" i="2" s="1"/>
  <c r="AC60" i="2"/>
  <c r="AD60" i="2" s="1"/>
  <c r="X60" i="2"/>
  <c r="Y60" i="2" s="1"/>
  <c r="S60" i="2"/>
  <c r="T60" i="2" s="1"/>
  <c r="N60" i="2"/>
  <c r="O60" i="2" s="1"/>
  <c r="D60" i="2"/>
  <c r="E60" i="2" s="1"/>
  <c r="AM59" i="2"/>
  <c r="AN59" i="2" s="1"/>
  <c r="AH59" i="2"/>
  <c r="AI59" i="2" s="1"/>
  <c r="AC59" i="2"/>
  <c r="AD59" i="2" s="1"/>
  <c r="X59" i="2"/>
  <c r="Y59" i="2" s="1"/>
  <c r="S59" i="2"/>
  <c r="T59" i="2" s="1"/>
  <c r="N59" i="2"/>
  <c r="O59" i="2" s="1"/>
  <c r="D59" i="2"/>
  <c r="E59" i="2" s="1"/>
  <c r="AM58" i="2"/>
  <c r="AN58" i="2" s="1"/>
  <c r="AH58" i="2"/>
  <c r="AI58" i="2" s="1"/>
  <c r="AC58" i="2"/>
  <c r="AD58" i="2" s="1"/>
  <c r="X58" i="2"/>
  <c r="Y58" i="2" s="1"/>
  <c r="S58" i="2"/>
  <c r="T58" i="2" s="1"/>
  <c r="N58" i="2"/>
  <c r="O58" i="2" s="1"/>
  <c r="D58" i="2"/>
  <c r="E58" i="2" s="1"/>
  <c r="AM57" i="2"/>
  <c r="AN57" i="2" s="1"/>
  <c r="AH57" i="2"/>
  <c r="AI57" i="2" s="1"/>
  <c r="AC57" i="2"/>
  <c r="AD57" i="2" s="1"/>
  <c r="X57" i="2"/>
  <c r="Y57" i="2" s="1"/>
  <c r="S57" i="2"/>
  <c r="T57" i="2" s="1"/>
  <c r="N57" i="2"/>
  <c r="O57" i="2" s="1"/>
  <c r="D57" i="2"/>
  <c r="E57" i="2" s="1"/>
  <c r="AM56" i="2"/>
  <c r="AN56" i="2" s="1"/>
  <c r="AH56" i="2"/>
  <c r="AI56" i="2" s="1"/>
  <c r="AC56" i="2"/>
  <c r="AD56" i="2" s="1"/>
  <c r="X56" i="2"/>
  <c r="Y56" i="2" s="1"/>
  <c r="S56" i="2"/>
  <c r="T56" i="2" s="1"/>
  <c r="N56" i="2"/>
  <c r="O56" i="2" s="1"/>
  <c r="D56" i="2"/>
  <c r="E56" i="2" s="1"/>
  <c r="AM55" i="2"/>
  <c r="AN55" i="2" s="1"/>
  <c r="AH55" i="2"/>
  <c r="AI55" i="2" s="1"/>
  <c r="AC55" i="2"/>
  <c r="AD55" i="2" s="1"/>
  <c r="X55" i="2"/>
  <c r="Y55" i="2" s="1"/>
  <c r="S55" i="2"/>
  <c r="T55" i="2" s="1"/>
  <c r="N55" i="2"/>
  <c r="O55" i="2" s="1"/>
  <c r="D55" i="2"/>
  <c r="E55" i="2" s="1"/>
  <c r="AM54" i="2"/>
  <c r="AN54" i="2" s="1"/>
  <c r="AH54" i="2"/>
  <c r="AI54" i="2" s="1"/>
  <c r="AC54" i="2"/>
  <c r="AD54" i="2" s="1"/>
  <c r="X54" i="2"/>
  <c r="Y54" i="2" s="1"/>
  <c r="S54" i="2"/>
  <c r="T54" i="2" s="1"/>
  <c r="N54" i="2"/>
  <c r="O54" i="2" s="1"/>
  <c r="D54" i="2"/>
  <c r="E54" i="2" s="1"/>
  <c r="AM53" i="2"/>
  <c r="AN53" i="2" s="1"/>
  <c r="AH53" i="2"/>
  <c r="AI53" i="2" s="1"/>
  <c r="AC53" i="2"/>
  <c r="AD53" i="2" s="1"/>
  <c r="X53" i="2"/>
  <c r="Y53" i="2" s="1"/>
  <c r="S53" i="2"/>
  <c r="T53" i="2" s="1"/>
  <c r="N53" i="2"/>
  <c r="O53" i="2" s="1"/>
  <c r="D53" i="2"/>
  <c r="E53" i="2" s="1"/>
  <c r="AM52" i="2"/>
  <c r="AN52" i="2" s="1"/>
  <c r="AH52" i="2"/>
  <c r="AI52" i="2" s="1"/>
  <c r="AC52" i="2"/>
  <c r="AD52" i="2" s="1"/>
  <c r="X52" i="2"/>
  <c r="Y52" i="2" s="1"/>
  <c r="S52" i="2"/>
  <c r="T52" i="2" s="1"/>
  <c r="N52" i="2"/>
  <c r="O52" i="2" s="1"/>
  <c r="D52" i="2"/>
  <c r="E52" i="2" s="1"/>
  <c r="AM51" i="2"/>
  <c r="AN51" i="2" s="1"/>
  <c r="AH51" i="2"/>
  <c r="AI51" i="2" s="1"/>
  <c r="AC51" i="2"/>
  <c r="AD51" i="2" s="1"/>
  <c r="X51" i="2"/>
  <c r="Y51" i="2" s="1"/>
  <c r="S51" i="2"/>
  <c r="T51" i="2" s="1"/>
  <c r="N51" i="2"/>
  <c r="O51" i="2" s="1"/>
  <c r="D51" i="2"/>
  <c r="E51" i="2" s="1"/>
  <c r="AM50" i="2"/>
  <c r="AN50" i="2" s="1"/>
  <c r="AH50" i="2"/>
  <c r="AI50" i="2" s="1"/>
  <c r="AC50" i="2"/>
  <c r="AD50" i="2" s="1"/>
  <c r="X50" i="2"/>
  <c r="Y50" i="2" s="1"/>
  <c r="S50" i="2"/>
  <c r="T50" i="2" s="1"/>
  <c r="N50" i="2"/>
  <c r="O50" i="2" s="1"/>
  <c r="D50" i="2"/>
  <c r="E50" i="2" s="1"/>
  <c r="AM49" i="2"/>
  <c r="AN49" i="2" s="1"/>
  <c r="AH49" i="2"/>
  <c r="AI49" i="2" s="1"/>
  <c r="AC49" i="2"/>
  <c r="AD49" i="2" s="1"/>
  <c r="X49" i="2"/>
  <c r="Y49" i="2" s="1"/>
  <c r="S49" i="2"/>
  <c r="T49" i="2" s="1"/>
  <c r="N49" i="2"/>
  <c r="O49" i="2" s="1"/>
  <c r="D49" i="2"/>
  <c r="E49" i="2" s="1"/>
  <c r="AM48" i="2"/>
  <c r="AN48" i="2" s="1"/>
  <c r="AH48" i="2"/>
  <c r="AI48" i="2" s="1"/>
  <c r="AC48" i="2"/>
  <c r="AD48" i="2" s="1"/>
  <c r="X48" i="2"/>
  <c r="Y48" i="2" s="1"/>
  <c r="S48" i="2"/>
  <c r="T48" i="2" s="1"/>
  <c r="N48" i="2"/>
  <c r="O48" i="2" s="1"/>
  <c r="D48" i="2"/>
  <c r="E48" i="2" s="1"/>
  <c r="AM47" i="2"/>
  <c r="AN47" i="2" s="1"/>
  <c r="AH47" i="2"/>
  <c r="AI47" i="2" s="1"/>
  <c r="AC47" i="2"/>
  <c r="AD47" i="2" s="1"/>
  <c r="X47" i="2"/>
  <c r="Y47" i="2" s="1"/>
  <c r="S47" i="2"/>
  <c r="T47" i="2" s="1"/>
  <c r="N47" i="2"/>
  <c r="O47" i="2" s="1"/>
  <c r="D47" i="2"/>
  <c r="E47" i="2" s="1"/>
  <c r="AM46" i="2"/>
  <c r="AN46" i="2" s="1"/>
  <c r="AH46" i="2"/>
  <c r="AI46" i="2" s="1"/>
  <c r="AC46" i="2"/>
  <c r="AD46" i="2" s="1"/>
  <c r="X46" i="2"/>
  <c r="Y46" i="2" s="1"/>
  <c r="S46" i="2"/>
  <c r="T46" i="2" s="1"/>
  <c r="N46" i="2"/>
  <c r="O46" i="2" s="1"/>
  <c r="D46" i="2"/>
  <c r="E46" i="2" s="1"/>
  <c r="AM45" i="2"/>
  <c r="AN45" i="2" s="1"/>
  <c r="AH45" i="2"/>
  <c r="AI45" i="2" s="1"/>
  <c r="AC45" i="2"/>
  <c r="AD45" i="2" s="1"/>
  <c r="X45" i="2"/>
  <c r="Y45" i="2" s="1"/>
  <c r="S45" i="2"/>
  <c r="T45" i="2" s="1"/>
  <c r="N45" i="2"/>
  <c r="O45" i="2" s="1"/>
  <c r="D45" i="2"/>
  <c r="E45" i="2" s="1"/>
  <c r="AM44" i="2"/>
  <c r="AN44" i="2" s="1"/>
  <c r="AH44" i="2"/>
  <c r="AI44" i="2" s="1"/>
  <c r="AC44" i="2"/>
  <c r="AD44" i="2" s="1"/>
  <c r="X44" i="2"/>
  <c r="Y44" i="2" s="1"/>
  <c r="S44" i="2"/>
  <c r="T44" i="2" s="1"/>
  <c r="N44" i="2"/>
  <c r="O44" i="2" s="1"/>
  <c r="D44" i="2"/>
  <c r="E44" i="2" s="1"/>
  <c r="AM43" i="2"/>
  <c r="AN43" i="2" s="1"/>
  <c r="AH43" i="2"/>
  <c r="AI43" i="2" s="1"/>
  <c r="AC43" i="2"/>
  <c r="AD43" i="2" s="1"/>
  <c r="X43" i="2"/>
  <c r="Y43" i="2" s="1"/>
  <c r="S43" i="2"/>
  <c r="T43" i="2" s="1"/>
  <c r="N43" i="2"/>
  <c r="O43" i="2" s="1"/>
  <c r="D43" i="2"/>
  <c r="E43" i="2" s="1"/>
  <c r="AM42" i="2"/>
  <c r="AN42" i="2" s="1"/>
  <c r="AH42" i="2"/>
  <c r="AI42" i="2" s="1"/>
  <c r="AC42" i="2"/>
  <c r="AD42" i="2" s="1"/>
  <c r="X42" i="2"/>
  <c r="Y42" i="2" s="1"/>
  <c r="S42" i="2"/>
  <c r="T42" i="2" s="1"/>
  <c r="N42" i="2"/>
  <c r="O42" i="2" s="1"/>
  <c r="D42" i="2"/>
  <c r="E42" i="2" s="1"/>
  <c r="AM41" i="2"/>
  <c r="AN41" i="2" s="1"/>
  <c r="AH41" i="2"/>
  <c r="AI41" i="2" s="1"/>
  <c r="AC41" i="2"/>
  <c r="AD41" i="2" s="1"/>
  <c r="X41" i="2"/>
  <c r="Y41" i="2" s="1"/>
  <c r="S41" i="2"/>
  <c r="T41" i="2" s="1"/>
  <c r="N41" i="2"/>
  <c r="O41" i="2" s="1"/>
  <c r="D41" i="2"/>
  <c r="E41" i="2" s="1"/>
  <c r="AM40" i="2"/>
  <c r="AN40" i="2" s="1"/>
  <c r="AH40" i="2"/>
  <c r="AI40" i="2" s="1"/>
  <c r="AC40" i="2"/>
  <c r="AD40" i="2" s="1"/>
  <c r="X40" i="2"/>
  <c r="Y40" i="2" s="1"/>
  <c r="S40" i="2"/>
  <c r="T40" i="2" s="1"/>
  <c r="N40" i="2"/>
  <c r="O40" i="2" s="1"/>
  <c r="D40" i="2"/>
  <c r="E40" i="2" s="1"/>
  <c r="AM39" i="2"/>
  <c r="AN39" i="2" s="1"/>
  <c r="AH39" i="2"/>
  <c r="AI39" i="2" s="1"/>
  <c r="AC39" i="2"/>
  <c r="AD39" i="2" s="1"/>
  <c r="X39" i="2"/>
  <c r="Y39" i="2" s="1"/>
  <c r="S39" i="2"/>
  <c r="T39" i="2" s="1"/>
  <c r="N39" i="2"/>
  <c r="O39" i="2" s="1"/>
  <c r="D39" i="2"/>
  <c r="E39" i="2" s="1"/>
  <c r="AM38" i="2"/>
  <c r="AN38" i="2" s="1"/>
  <c r="AH38" i="2"/>
  <c r="AI38" i="2" s="1"/>
  <c r="AC38" i="2"/>
  <c r="AD38" i="2" s="1"/>
  <c r="X38" i="2"/>
  <c r="Y38" i="2" s="1"/>
  <c r="S38" i="2"/>
  <c r="T38" i="2" s="1"/>
  <c r="N38" i="2"/>
  <c r="O38" i="2" s="1"/>
  <c r="D38" i="2"/>
  <c r="E38" i="2" s="1"/>
  <c r="AM37" i="2"/>
  <c r="AN37" i="2" s="1"/>
  <c r="AH37" i="2"/>
  <c r="AI37" i="2" s="1"/>
  <c r="AC37" i="2"/>
  <c r="AD37" i="2" s="1"/>
  <c r="X37" i="2"/>
  <c r="Y37" i="2" s="1"/>
  <c r="S37" i="2"/>
  <c r="T37" i="2" s="1"/>
  <c r="N37" i="2"/>
  <c r="O37" i="2" s="1"/>
  <c r="D37" i="2"/>
  <c r="E37" i="2" s="1"/>
  <c r="AM36" i="2"/>
  <c r="AN36" i="2" s="1"/>
  <c r="AH36" i="2"/>
  <c r="AI36" i="2" s="1"/>
  <c r="AC36" i="2"/>
  <c r="AD36" i="2" s="1"/>
  <c r="X36" i="2"/>
  <c r="Y36" i="2" s="1"/>
  <c r="S36" i="2"/>
  <c r="T36" i="2" s="1"/>
  <c r="N36" i="2"/>
  <c r="O36" i="2" s="1"/>
  <c r="D36" i="2"/>
  <c r="E36" i="2" s="1"/>
  <c r="AM35" i="2"/>
  <c r="AN35" i="2" s="1"/>
  <c r="AH35" i="2"/>
  <c r="AI35" i="2" s="1"/>
  <c r="AC35" i="2"/>
  <c r="AD35" i="2" s="1"/>
  <c r="X35" i="2"/>
  <c r="Y35" i="2" s="1"/>
  <c r="S35" i="2"/>
  <c r="T35" i="2" s="1"/>
  <c r="N35" i="2"/>
  <c r="O35" i="2" s="1"/>
  <c r="D35" i="2"/>
  <c r="E35" i="2" s="1"/>
  <c r="AM34" i="2"/>
  <c r="AN34" i="2" s="1"/>
  <c r="AH34" i="2"/>
  <c r="AI34" i="2" s="1"/>
  <c r="AC34" i="2"/>
  <c r="AD34" i="2" s="1"/>
  <c r="X34" i="2"/>
  <c r="Y34" i="2" s="1"/>
  <c r="S34" i="2"/>
  <c r="T34" i="2" s="1"/>
  <c r="N34" i="2"/>
  <c r="O34" i="2" s="1"/>
  <c r="D34" i="2"/>
  <c r="E34" i="2" s="1"/>
  <c r="AM33" i="2"/>
  <c r="AN33" i="2" s="1"/>
  <c r="AH33" i="2"/>
  <c r="AI33" i="2" s="1"/>
  <c r="AC33" i="2"/>
  <c r="AD33" i="2" s="1"/>
  <c r="X33" i="2"/>
  <c r="Y33" i="2" s="1"/>
  <c r="S33" i="2"/>
  <c r="T33" i="2" s="1"/>
  <c r="N33" i="2"/>
  <c r="O33" i="2" s="1"/>
  <c r="D33" i="2"/>
  <c r="E33" i="2" s="1"/>
  <c r="AM32" i="2"/>
  <c r="AN32" i="2" s="1"/>
  <c r="AH32" i="2"/>
  <c r="AI32" i="2" s="1"/>
  <c r="AC32" i="2"/>
  <c r="AD32" i="2" s="1"/>
  <c r="X32" i="2"/>
  <c r="Y32" i="2" s="1"/>
  <c r="S32" i="2"/>
  <c r="T32" i="2" s="1"/>
  <c r="N32" i="2"/>
  <c r="O32" i="2" s="1"/>
  <c r="D32" i="2"/>
  <c r="E32" i="2" s="1"/>
  <c r="AM31" i="2"/>
  <c r="AN31" i="2" s="1"/>
  <c r="AH31" i="2"/>
  <c r="AI31" i="2" s="1"/>
  <c r="AC31" i="2"/>
  <c r="AD31" i="2" s="1"/>
  <c r="X31" i="2"/>
  <c r="Y31" i="2" s="1"/>
  <c r="S31" i="2"/>
  <c r="T31" i="2" s="1"/>
  <c r="N31" i="2"/>
  <c r="O31" i="2" s="1"/>
  <c r="D31" i="2"/>
  <c r="E31" i="2" s="1"/>
  <c r="AM30" i="2"/>
  <c r="AN30" i="2" s="1"/>
  <c r="AH30" i="2"/>
  <c r="AI30" i="2" s="1"/>
  <c r="AC30" i="2"/>
  <c r="AD30" i="2" s="1"/>
  <c r="X30" i="2"/>
  <c r="Y30" i="2" s="1"/>
  <c r="S30" i="2"/>
  <c r="T30" i="2" s="1"/>
  <c r="N30" i="2"/>
  <c r="O30" i="2" s="1"/>
  <c r="D30" i="2"/>
  <c r="E30" i="2" s="1"/>
  <c r="AM29" i="2"/>
  <c r="AN29" i="2" s="1"/>
  <c r="AH29" i="2"/>
  <c r="AI29" i="2" s="1"/>
  <c r="AC29" i="2"/>
  <c r="AD29" i="2" s="1"/>
  <c r="X29" i="2"/>
  <c r="Y29" i="2" s="1"/>
  <c r="S29" i="2"/>
  <c r="T29" i="2" s="1"/>
  <c r="N29" i="2"/>
  <c r="O29" i="2" s="1"/>
  <c r="D29" i="2"/>
  <c r="E29" i="2" s="1"/>
  <c r="AM28" i="2"/>
  <c r="AN28" i="2" s="1"/>
  <c r="AH28" i="2"/>
  <c r="AI28" i="2" s="1"/>
  <c r="AC28" i="2"/>
  <c r="AD28" i="2" s="1"/>
  <c r="X28" i="2"/>
  <c r="Y28" i="2" s="1"/>
  <c r="S28" i="2"/>
  <c r="T28" i="2" s="1"/>
  <c r="N28" i="2"/>
  <c r="O28" i="2" s="1"/>
  <c r="D28" i="2"/>
  <c r="E28" i="2" s="1"/>
  <c r="AM27" i="2"/>
  <c r="AN27" i="2" s="1"/>
  <c r="AH27" i="2"/>
  <c r="AI27" i="2" s="1"/>
  <c r="AC27" i="2"/>
  <c r="AD27" i="2" s="1"/>
  <c r="X27" i="2"/>
  <c r="Y27" i="2" s="1"/>
  <c r="S27" i="2"/>
  <c r="T27" i="2" s="1"/>
  <c r="N27" i="2"/>
  <c r="O27" i="2" s="1"/>
  <c r="D27" i="2"/>
  <c r="E27" i="2" s="1"/>
  <c r="AM26" i="2"/>
  <c r="AN26" i="2" s="1"/>
  <c r="AH26" i="2"/>
  <c r="AI26" i="2" s="1"/>
  <c r="AC26" i="2"/>
  <c r="AD26" i="2" s="1"/>
  <c r="X26" i="2"/>
  <c r="Y26" i="2" s="1"/>
  <c r="S26" i="2"/>
  <c r="T26" i="2" s="1"/>
  <c r="N26" i="2"/>
  <c r="O26" i="2" s="1"/>
  <c r="D26" i="2"/>
  <c r="E26" i="2" s="1"/>
  <c r="AM25" i="2"/>
  <c r="AN25" i="2" s="1"/>
  <c r="AH25" i="2"/>
  <c r="AI25" i="2" s="1"/>
  <c r="AC25" i="2"/>
  <c r="AD25" i="2" s="1"/>
  <c r="X25" i="2"/>
  <c r="Y25" i="2" s="1"/>
  <c r="S25" i="2"/>
  <c r="T25" i="2" s="1"/>
  <c r="N25" i="2"/>
  <c r="O25" i="2" s="1"/>
  <c r="D25" i="2"/>
  <c r="E25" i="2" s="1"/>
  <c r="AM24" i="2"/>
  <c r="AN24" i="2" s="1"/>
  <c r="AH24" i="2"/>
  <c r="AI24" i="2" s="1"/>
  <c r="AC24" i="2"/>
  <c r="AD24" i="2" s="1"/>
  <c r="X24" i="2"/>
  <c r="Y24" i="2" s="1"/>
  <c r="S24" i="2"/>
  <c r="T24" i="2" s="1"/>
  <c r="N24" i="2"/>
  <c r="O24" i="2" s="1"/>
  <c r="D24" i="2"/>
  <c r="E24" i="2" s="1"/>
  <c r="AM23" i="2"/>
  <c r="AN23" i="2" s="1"/>
  <c r="AH23" i="2"/>
  <c r="AI23" i="2" s="1"/>
  <c r="AC23" i="2"/>
  <c r="AD23" i="2" s="1"/>
  <c r="X23" i="2"/>
  <c r="Y23" i="2" s="1"/>
  <c r="S23" i="2"/>
  <c r="T23" i="2" s="1"/>
  <c r="N23" i="2"/>
  <c r="O23" i="2" s="1"/>
  <c r="D23" i="2"/>
  <c r="E23" i="2" s="1"/>
  <c r="AM22" i="2"/>
  <c r="AN22" i="2" s="1"/>
  <c r="AH22" i="2"/>
  <c r="AI22" i="2" s="1"/>
  <c r="AC22" i="2"/>
  <c r="AD22" i="2" s="1"/>
  <c r="X22" i="2"/>
  <c r="Y22" i="2" s="1"/>
  <c r="S22" i="2"/>
  <c r="T22" i="2" s="1"/>
  <c r="N22" i="2"/>
  <c r="O22" i="2" s="1"/>
  <c r="D22" i="2"/>
  <c r="E22" i="2" s="1"/>
  <c r="AM21" i="2"/>
  <c r="AN21" i="2" s="1"/>
  <c r="AH21" i="2"/>
  <c r="AI21" i="2" s="1"/>
  <c r="AC21" i="2"/>
  <c r="AD21" i="2" s="1"/>
  <c r="X21" i="2"/>
  <c r="Y21" i="2" s="1"/>
  <c r="S21" i="2"/>
  <c r="T21" i="2" s="1"/>
  <c r="N21" i="2"/>
  <c r="O21" i="2" s="1"/>
  <c r="D21" i="2"/>
  <c r="E21" i="2" s="1"/>
  <c r="AM20" i="2"/>
  <c r="AN20" i="2" s="1"/>
  <c r="AH20" i="2"/>
  <c r="AI20" i="2" s="1"/>
  <c r="AC20" i="2"/>
  <c r="AD20" i="2" s="1"/>
  <c r="X20" i="2"/>
  <c r="Y20" i="2" s="1"/>
  <c r="S20" i="2"/>
  <c r="T20" i="2" s="1"/>
  <c r="N20" i="2"/>
  <c r="O20" i="2" s="1"/>
  <c r="D20" i="2"/>
  <c r="E20" i="2" s="1"/>
  <c r="AM19" i="2"/>
  <c r="AN19" i="2" s="1"/>
  <c r="AH19" i="2"/>
  <c r="AI19" i="2" s="1"/>
  <c r="AC19" i="2"/>
  <c r="AD19" i="2" s="1"/>
  <c r="X19" i="2"/>
  <c r="Y19" i="2" s="1"/>
  <c r="S19" i="2"/>
  <c r="T19" i="2" s="1"/>
  <c r="N19" i="2"/>
  <c r="O19" i="2" s="1"/>
  <c r="D19" i="2"/>
  <c r="E19" i="2" s="1"/>
  <c r="AM18" i="2"/>
  <c r="AN18" i="2" s="1"/>
  <c r="AH18" i="2"/>
  <c r="AI18" i="2" s="1"/>
  <c r="AC18" i="2"/>
  <c r="AD18" i="2" s="1"/>
  <c r="X18" i="2"/>
  <c r="Y18" i="2" s="1"/>
  <c r="S18" i="2"/>
  <c r="T18" i="2" s="1"/>
  <c r="N18" i="2"/>
  <c r="O18" i="2" s="1"/>
  <c r="D18" i="2"/>
  <c r="E18" i="2" s="1"/>
  <c r="AM17" i="2"/>
  <c r="AN17" i="2" s="1"/>
  <c r="AH17" i="2"/>
  <c r="AI17" i="2" s="1"/>
  <c r="AC17" i="2"/>
  <c r="AD17" i="2" s="1"/>
  <c r="X17" i="2"/>
  <c r="Y17" i="2" s="1"/>
  <c r="S17" i="2"/>
  <c r="T17" i="2" s="1"/>
  <c r="N17" i="2"/>
  <c r="O17" i="2" s="1"/>
  <c r="D17" i="2"/>
  <c r="E17" i="2" s="1"/>
  <c r="AM16" i="2"/>
  <c r="AN16" i="2" s="1"/>
  <c r="AH16" i="2"/>
  <c r="AI16" i="2" s="1"/>
  <c r="AC16" i="2"/>
  <c r="AD16" i="2" s="1"/>
  <c r="X16" i="2"/>
  <c r="Y16" i="2" s="1"/>
  <c r="S16" i="2"/>
  <c r="T16" i="2" s="1"/>
  <c r="N16" i="2"/>
  <c r="O16" i="2" s="1"/>
  <c r="D16" i="2"/>
  <c r="E16" i="2" s="1"/>
  <c r="AM15" i="2"/>
  <c r="AN15" i="2" s="1"/>
  <c r="AK15" i="2"/>
  <c r="AH15" i="2"/>
  <c r="AI15" i="2" s="1"/>
  <c r="AF15" i="2"/>
  <c r="AC15" i="2"/>
  <c r="AD15" i="2" s="1"/>
  <c r="AA15" i="2"/>
  <c r="X15" i="2"/>
  <c r="Y15" i="2" s="1"/>
  <c r="V15" i="2"/>
  <c r="S15" i="2"/>
  <c r="T15" i="2" s="1"/>
  <c r="Q15" i="2"/>
  <c r="N15" i="2"/>
  <c r="O15" i="2" s="1"/>
  <c r="L15" i="2"/>
  <c r="D15" i="2"/>
  <c r="E15" i="2" s="1"/>
  <c r="B15" i="2"/>
</calcChain>
</file>

<file path=xl/sharedStrings.xml><?xml version="1.0" encoding="utf-8"?>
<sst xmlns="http://schemas.openxmlformats.org/spreadsheetml/2006/main" count="263" uniqueCount="121">
  <si>
    <t>Security</t>
  </si>
  <si>
    <t>PFIZ IN Equity</t>
  </si>
  <si>
    <t>NSE500 Index</t>
  </si>
  <si>
    <t>Start Date</t>
  </si>
  <si>
    <t>End Date</t>
  </si>
  <si>
    <t>Period</t>
  </si>
  <si>
    <t>W</t>
  </si>
  <si>
    <t>Currency</t>
  </si>
  <si>
    <t>INR</t>
  </si>
  <si>
    <t>SUMMARY OUTPUT</t>
  </si>
  <si>
    <t>Date</t>
  </si>
  <si>
    <t>PX_LAST</t>
  </si>
  <si>
    <t>Change</t>
  </si>
  <si>
    <t>% Change</t>
  </si>
  <si>
    <t>PX_VOLUME</t>
  </si>
  <si>
    <t>Regression Statistics</t>
  </si>
  <si>
    <t/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</si>
  <si>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</si>
  <si>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</si>
  <si>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</si>
  <si>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</si>
  <si>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</si>
  <si>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</si>
  <si>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</si>
  <si>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</si>
  <si>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</si>
  <si>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</si>
  <si>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</si>
  <si>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</si>
  <si>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</si>
  <si>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</si>
  <si>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</si>
  <si>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</si>
  <si>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</si>
  <si>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</si>
  <si>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</si>
  <si>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</si>
  <si>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</si>
  <si>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</si>
  <si>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</si>
  <si>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Weekly</t>
  </si>
  <si>
    <t>Sun Pharma</t>
  </si>
  <si>
    <t>GSK India</t>
  </si>
  <si>
    <t xml:space="preserve">Abbott </t>
  </si>
  <si>
    <t>Cipla india</t>
  </si>
  <si>
    <t>Dr Reddy</t>
  </si>
  <si>
    <t>Lalpath Labs</t>
  </si>
  <si>
    <t>Biocon</t>
  </si>
  <si>
    <t>SUNP IN Equity</t>
  </si>
  <si>
    <t>Beta</t>
  </si>
  <si>
    <t>GLXO IN Equity</t>
  </si>
  <si>
    <t>BOOT IN Equity</t>
  </si>
  <si>
    <t>CIPLA IN Equity</t>
  </si>
  <si>
    <t>DRRD IN Equity</t>
  </si>
  <si>
    <t>DLPL IN Equity</t>
  </si>
  <si>
    <t>Bio</t>
  </si>
  <si>
    <t>BIOS IN Equity</t>
  </si>
  <si>
    <t>DIVI IN Equity</t>
  </si>
  <si>
    <t>#NAME?</t>
  </si>
  <si>
    <t>GIND10YR Index</t>
  </si>
  <si>
    <t>Y</t>
  </si>
  <si>
    <t>PX_BID</t>
  </si>
  <si>
    <t>%</t>
  </si>
  <si>
    <t>Rm-Rf</t>
  </si>
  <si>
    <t>Historical Rf</t>
  </si>
  <si>
    <t>Historical Rm</t>
  </si>
  <si>
    <t>Current Rf</t>
  </si>
  <si>
    <t>Company</t>
  </si>
  <si>
    <t>Mcap</t>
  </si>
  <si>
    <t>Total Firm Value</t>
  </si>
  <si>
    <t>Cash</t>
  </si>
  <si>
    <t>Levered Beta</t>
  </si>
  <si>
    <t>Pfizer</t>
  </si>
  <si>
    <t>GSK</t>
  </si>
  <si>
    <t>Abbott</t>
  </si>
  <si>
    <t>Cipla</t>
  </si>
  <si>
    <t>Dr Lalpath</t>
  </si>
  <si>
    <t>Divi labs</t>
  </si>
  <si>
    <t>Tax</t>
  </si>
  <si>
    <t>Unlevered Beta</t>
  </si>
  <si>
    <t>Unlevered Cash Adj</t>
  </si>
  <si>
    <t>Total Debt((in ₹ millions))</t>
  </si>
  <si>
    <t>Industry Unlevered Beta</t>
  </si>
  <si>
    <t>Pfizer Unlevered Beta</t>
  </si>
  <si>
    <t>Pfizer Levered Beta</t>
  </si>
  <si>
    <t>Leveraged Beta</t>
  </si>
  <si>
    <t>Using CAPM</t>
  </si>
  <si>
    <t>Cost of Equity</t>
  </si>
  <si>
    <t>Credit Rating</t>
  </si>
  <si>
    <t>A</t>
  </si>
  <si>
    <t xml:space="preserve">Risk Premium </t>
  </si>
  <si>
    <t>Cost of Debt</t>
  </si>
  <si>
    <t>WACC</t>
  </si>
  <si>
    <t>Step No.</t>
  </si>
  <si>
    <t xml:space="preserve"> Details Of The Step</t>
  </si>
  <si>
    <t>Reason</t>
  </si>
  <si>
    <t>Data Source</t>
  </si>
  <si>
    <t>We have collected the data from bloomberg terminal</t>
  </si>
  <si>
    <t>Bloomberg Terminal</t>
  </si>
  <si>
    <t>After using geometric mean to calculate risk free rate and market rate, we found their difference to get the market premium</t>
  </si>
  <si>
    <t>Then we calculated the cost of equity</t>
  </si>
  <si>
    <t xml:space="preserve">Then we calculated the cost of debt </t>
  </si>
  <si>
    <t>Finally after calculating all the different values, we used those values to calculate Weighted Average Cost OF Capital</t>
  </si>
  <si>
    <t>Name: Deepanshu Rawat
Roll No: 2311345
Company : Pfizer
Industry : Pharmaceutical</t>
  </si>
  <si>
    <t>Weekly returns over five years help smooth out short-term market fluctuations, providing a more stable and reliable measure of volatility, which is crucial for beta calculations.</t>
  </si>
  <si>
    <t>NIFTY 500 was choosen as it represents about 93% of the free float market capitalization of the stocks listed on NSE as on September 29, 2023.</t>
  </si>
  <si>
    <t>We started by taking weekly market return of our firms for 5 years to calculate Regression Beta</t>
  </si>
  <si>
    <t>Then we took the weekly market return of NIFTY 5000 for 5 years</t>
  </si>
  <si>
    <t>We have regressed the weekly market return of our firm on the weekly return of nifty 500 for 5 years data</t>
  </si>
  <si>
    <t>We calculated the regression beta for our specific firm</t>
  </si>
  <si>
    <t>We analyzed the annual returns of the 10-year Government of India bonds over the past 22 years to determine the risk-free rate</t>
  </si>
  <si>
    <t xml:space="preserve"> A 22-year period offers a substantial historical perspective, enabling analysts to observe how the risk-free rate has responded to 
different economic conditions, policy changes, and global events. The 10-year maturity period is a standard benchmark for government bonds, 
providing a reasonable balance between sensitivity to interest rate changes and stability in long-term returns.</t>
  </si>
  <si>
    <t>Again we have extracted 20 years yearly return of NIFTY 500</t>
  </si>
  <si>
    <t>Reasons are mentioned above why we choose 20+ years here and why NIFTY 500 as an index</t>
  </si>
  <si>
    <t>Geometric mean is used to calculate the industry leverage beta</t>
  </si>
  <si>
    <t>We calculated the regression beta of all the peer firms</t>
  </si>
  <si>
    <t>We found out the market capitalization, total desbt, firm value, total cash of all the peer firms of our bank</t>
  </si>
  <si>
    <t>Then we found the bottom up beta for our specific firm after taking in consideration the debt to equity ratio and total cash of our specific firm</t>
  </si>
  <si>
    <t>We calculated the unleveraged beta for our peer firms after adjusting for cash, and subsequently determined the geometric mean of these values to derive the unleveraged beta for the banking business.</t>
  </si>
  <si>
    <t>Total Firm Value((in ₹ millions))</t>
  </si>
  <si>
    <t>Cash((in ₹ millions))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</si>
</sst>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  <xf numFmtId="0" fontId="21" fillId="0" borderId="0"/>
  </cellStyleXfs>
  <cellXfs count="31">
    <xf numFmtId="0" fontId="0" fillId="0" borderId="0" xfId="0"/>
    <xf numFmtId="0" fontId="20" fillId="33" borderId="0" xfId="0" applyFont="1" applyFill="1"/>
    <xf numFmtId="0" fontId="0" fillId="35" borderId="10" xfId="0" applyFill="1" applyBorder="1"/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Continuous"/>
    </xf>
    <xf numFmtId="0" fontId="15" fillId="34" borderId="10" xfId="0" applyFont="1" applyFill="1" applyBorder="1"/>
    <xf numFmtId="164" fontId="0" fillId="33" borderId="10" xfId="0" applyNumberFormat="1" applyFill="1" applyBorder="1"/>
    <xf numFmtId="22" fontId="16" fillId="33" borderId="10" xfId="42" applyFill="1" applyBorder="1"/>
    <xf numFmtId="0" fontId="0" fillId="33" borderId="10" xfId="0" applyFill="1" applyBorder="1"/>
    <xf numFmtId="22" fontId="16" fillId="33" borderId="0" xfId="42" applyFill="1"/>
    <xf numFmtId="0" fontId="0" fillId="33" borderId="0" xfId="0" applyFill="1"/>
    <xf numFmtId="22" fontId="16" fillId="33" borderId="10" xfId="0" applyNumberFormat="1" applyFont="1" applyFill="1" applyBorder="1"/>
    <xf numFmtId="0" fontId="21" fillId="33" borderId="10" xfId="0" applyFont="1" applyFill="1" applyBorder="1"/>
    <xf numFmtId="164" fontId="20" fillId="33" borderId="10" xfId="0" applyNumberFormat="1" applyFont="1" applyFill="1" applyBorder="1"/>
    <xf numFmtId="0" fontId="21" fillId="0" borderId="10" xfId="43" applyBorder="1"/>
    <xf numFmtId="22" fontId="16" fillId="0" borderId="10" xfId="43" applyNumberFormat="1" applyFont="1" applyBorder="1"/>
    <xf numFmtId="164" fontId="20" fillId="0" borderId="10" xfId="43" applyNumberFormat="1" applyFont="1" applyBorder="1"/>
    <xf numFmtId="0" fontId="22" fillId="34" borderId="10" xfId="0" applyFont="1" applyFill="1" applyBorder="1"/>
    <xf numFmtId="0" fontId="0" fillId="33" borderId="0" xfId="0" applyFill="1" applyAlignment="1">
      <alignment horizontal="left" vertical="top" wrapText="1"/>
    </xf>
    <xf numFmtId="0" fontId="11" fillId="34" borderId="10" xfId="0" applyFont="1" applyFill="1" applyBorder="1"/>
    <xf numFmtId="4" fontId="0" fillId="33" borderId="10" xfId="0" applyNumberFormat="1" applyFill="1" applyBorder="1"/>
    <xf numFmtId="0" fontId="20" fillId="33" borderId="10" xfId="43" applyFont="1" applyFill="1" applyBorder="1"/>
    <xf numFmtId="0" fontId="23" fillId="35" borderId="10" xfId="0" applyFont="1" applyFill="1" applyBorder="1"/>
    <xf numFmtId="0" fontId="0" fillId="33" borderId="10" xfId="0" applyFill="1" applyBorder="1" applyAlignment="1">
      <alignment horizontal="right"/>
    </xf>
    <xf numFmtId="0" fontId="0" fillId="33" borderId="0" xfId="0" applyFill="1" applyAlignment="1">
      <alignment horizontal="left" vertical="top"/>
    </xf>
    <xf numFmtId="0" fontId="11" fillId="34" borderId="10" xfId="0" applyFont="1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/>
    </xf>
    <xf numFmtId="0" fontId="0" fillId="33" borderId="10" xfId="0" applyFill="1" applyBorder="1" applyAlignment="1">
      <alignment horizontal="left" vertical="top" wrapText="1"/>
    </xf>
    <xf numFmtId="0" fontId="15" fillId="34" borderId="10" xfId="0" applyFont="1" applyFill="1" applyBorder="1" applyAlignment="1">
      <alignment horizontal="left" vertical="top"/>
    </xf>
    <xf numFmtId="0" fontId="15" fillId="34" borderId="10" xfId="0" applyFont="1" applyFill="1" applyBorder="1" applyAlignment="1">
      <alignment horizontal="left" vertical="top" wrapText="1"/>
    </xf>
    <xf numFmtId="0" fontId="15" fillId="34" borderId="10" xfId="0" applyFont="1" applyFill="1" applyBorder="1" applyAlignment="1">
      <alignment horizontal="center"/>
    </xf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C2FDD78E-0386-4803-8E51-8B03BC13D805}"/>
    <cellStyle name="60% - Accent2 2" xfId="35" xr:uid="{399C449C-D42D-4447-8479-F474AB58C11C}"/>
    <cellStyle name="60% - Accent3 2" xfId="36" xr:uid="{F2A59CE1-51D9-4AE5-AE05-7713F75CAFDC}"/>
    <cellStyle name="60% - Accent4 2" xfId="37" xr:uid="{FE26E595-556E-4254-8D20-C79FD0354AC1}"/>
    <cellStyle name="60% - Accent5 2" xfId="38" xr:uid="{9CE4F213-084E-4DC6-8237-C74EF22F4A57}"/>
    <cellStyle name="60% - Accent6 2" xfId="39" xr:uid="{26AAC3E5-4E0B-45B4-BD45-964176F26E7B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A8D97EB9-3E38-4AB2-8A25-453F3A9859AD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04F5989D-71DB-4239-B4CA-1896CB811F57}"/>
    <cellStyle name="Normal" xfId="0" builtinId="0"/>
    <cellStyle name="Normal 2" xfId="43" xr:uid="{54E01236-2EBB-4BAD-ABA5-17D0477F0169}"/>
    <cellStyle name="Note" xfId="13" builtinId="10" customBuiltin="1"/>
    <cellStyle name="Output" xfId="8" builtinId="21" customBuiltin="1"/>
    <cellStyle name="Title 2" xfId="41" xr:uid="{58B12C54-62E9-46E6-A0C9-562DAF093565}"/>
    <cellStyle name="Total" xfId="15" builtinId="25" customBuiltin="1"/>
    <cellStyle name="Warning Text" xfId="12" builtinId="11" customBuiltin="1"/>
  </cellStyles>
  <dxfs count="0"/>
  <tableStyles count="1" defaultTableStyle="TableStyleMedium2" defaultPivotStyle="PivotStyleLight16">
    <tableStyle name="Invisible" pivot="0" table="0" count="0" xr9:uid="{AB4D7414-FCD4-4758-A34C-B0AF63228A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1</xdr:row>
      <xdr:rowOff>177800</xdr:rowOff>
    </xdr:from>
    <xdr:to>
      <xdr:col>3</xdr:col>
      <xdr:colOff>209550</xdr:colOff>
      <xdr:row>2</xdr:row>
      <xdr:rowOff>177800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C166B3C-8D00-256D-A04B-18CDAEF7DF1A}"/>
            </a:ext>
          </a:extLst>
        </xdr:cNvPr>
        <xdr:cNvSpPr/>
      </xdr:nvSpPr>
      <xdr:spPr>
        <a:xfrm>
          <a:off x="1168400" y="361950"/>
          <a:ext cx="1644650" cy="1841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266700</xdr:colOff>
      <xdr:row>2</xdr:row>
      <xdr:rowOff>50800</xdr:rowOff>
    </xdr:from>
    <xdr:to>
      <xdr:col>9</xdr:col>
      <xdr:colOff>654050</xdr:colOff>
      <xdr:row>3</xdr:row>
      <xdr:rowOff>82550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35E04B3-7A51-4F83-9CAE-FC76C6291E95}"/>
            </a:ext>
          </a:extLst>
        </xdr:cNvPr>
        <xdr:cNvSpPr/>
      </xdr:nvSpPr>
      <xdr:spPr>
        <a:xfrm>
          <a:off x="5505450" y="419100"/>
          <a:ext cx="160655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</xdr:colOff>
      <xdr:row>2</xdr:row>
      <xdr:rowOff>63500</xdr:rowOff>
    </xdr:from>
    <xdr:to>
      <xdr:col>14</xdr:col>
      <xdr:colOff>107950</xdr:colOff>
      <xdr:row>3</xdr:row>
      <xdr:rowOff>25400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737BFE2-2D94-4A41-854B-95FB2B9F3F8B}"/>
            </a:ext>
          </a:extLst>
        </xdr:cNvPr>
        <xdr:cNvSpPr/>
      </xdr:nvSpPr>
      <xdr:spPr>
        <a:xfrm>
          <a:off x="9207500" y="431800"/>
          <a:ext cx="1574800" cy="146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717550</xdr:colOff>
      <xdr:row>2</xdr:row>
      <xdr:rowOff>120650</xdr:rowOff>
    </xdr:from>
    <xdr:to>
      <xdr:col>21</xdr:col>
      <xdr:colOff>63500</xdr:colOff>
      <xdr:row>3</xdr:row>
      <xdr:rowOff>165100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F8FE5FD-4F4A-42B0-9852-DF3C92CDF8DF}"/>
            </a:ext>
          </a:extLst>
        </xdr:cNvPr>
        <xdr:cNvSpPr/>
      </xdr:nvSpPr>
      <xdr:spPr>
        <a:xfrm>
          <a:off x="14439900" y="488950"/>
          <a:ext cx="13462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641350</xdr:colOff>
      <xdr:row>1</xdr:row>
      <xdr:rowOff>50800</xdr:rowOff>
    </xdr:from>
    <xdr:to>
      <xdr:col>3</xdr:col>
      <xdr:colOff>698500</xdr:colOff>
      <xdr:row>2</xdr:row>
      <xdr:rowOff>38100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A653AF0C-2E13-43B3-955E-94C94ECB3306}"/>
            </a:ext>
          </a:extLst>
        </xdr:cNvPr>
        <xdr:cNvSpPr/>
      </xdr:nvSpPr>
      <xdr:spPr>
        <a:xfrm>
          <a:off x="2266950" y="234950"/>
          <a:ext cx="12636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25400</xdr:colOff>
      <xdr:row>1</xdr:row>
      <xdr:rowOff>95250</xdr:rowOff>
    </xdr:from>
    <xdr:to>
      <xdr:col>10</xdr:col>
      <xdr:colOff>647700</xdr:colOff>
      <xdr:row>2</xdr:row>
      <xdr:rowOff>107950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1B7ADE1A-C352-40F4-A342-4569011919E7}"/>
            </a:ext>
          </a:extLst>
        </xdr:cNvPr>
        <xdr:cNvSpPr/>
      </xdr:nvSpPr>
      <xdr:spPr>
        <a:xfrm>
          <a:off x="8235950" y="279400"/>
          <a:ext cx="1435100" cy="196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901700</xdr:colOff>
      <xdr:row>1</xdr:row>
      <xdr:rowOff>25400</xdr:rowOff>
    </xdr:from>
    <xdr:to>
      <xdr:col>18</xdr:col>
      <xdr:colOff>781050</xdr:colOff>
      <xdr:row>2</xdr:row>
      <xdr:rowOff>57150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AB6BC2C-081F-4333-B2C6-C30EEC42C517}"/>
            </a:ext>
          </a:extLst>
        </xdr:cNvPr>
        <xdr:cNvSpPr/>
      </xdr:nvSpPr>
      <xdr:spPr>
        <a:xfrm>
          <a:off x="15932150" y="209550"/>
          <a:ext cx="103505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95250</xdr:colOff>
      <xdr:row>1</xdr:row>
      <xdr:rowOff>50800</xdr:rowOff>
    </xdr:from>
    <xdr:to>
      <xdr:col>29</xdr:col>
      <xdr:colOff>374650</xdr:colOff>
      <xdr:row>2</xdr:row>
      <xdr:rowOff>95250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91AA1FC-1D64-4BCE-96AF-EF1B6992F459}"/>
            </a:ext>
          </a:extLst>
        </xdr:cNvPr>
        <xdr:cNvSpPr/>
      </xdr:nvSpPr>
      <xdr:spPr>
        <a:xfrm>
          <a:off x="25158700" y="234950"/>
          <a:ext cx="10922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317500</xdr:colOff>
      <xdr:row>1</xdr:row>
      <xdr:rowOff>133350</xdr:rowOff>
    </xdr:from>
    <xdr:to>
      <xdr:col>37</xdr:col>
      <xdr:colOff>647700</xdr:colOff>
      <xdr:row>2</xdr:row>
      <xdr:rowOff>177800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3688EE0-9759-4B72-A075-060E87AC71AE}"/>
            </a:ext>
          </a:extLst>
        </xdr:cNvPr>
        <xdr:cNvSpPr/>
      </xdr:nvSpPr>
      <xdr:spPr>
        <a:xfrm>
          <a:off x="32150050" y="317500"/>
          <a:ext cx="11430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603250</xdr:colOff>
      <xdr:row>10</xdr:row>
      <xdr:rowOff>177800</xdr:rowOff>
    </xdr:from>
    <xdr:to>
      <xdr:col>12</xdr:col>
      <xdr:colOff>165100</xdr:colOff>
      <xdr:row>17</xdr:row>
      <xdr:rowOff>161825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A11A64-3C6A-81A0-AAD9-FBAA1942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0" y="2019300"/>
          <a:ext cx="1593850" cy="12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6ECE-E2FE-4AA0-BA9B-354838831B44}">
  <dimension ref="B1:E18"/>
  <sheetViews>
    <sheetView topLeftCell="A11" workbookViewId="0">
      <selection activeCell="C16" sqref="C16"/>
    </sheetView>
  </sheetViews>
  <sheetFormatPr defaultRowHeight="14.5" x14ac:dyDescent="0.35"/>
  <cols>
    <col min="1" max="2" width="8.7265625" style="24"/>
    <col min="3" max="3" width="77.36328125" style="18" customWidth="1"/>
    <col min="4" max="4" width="119.6328125" style="18" customWidth="1"/>
    <col min="5" max="5" width="46.453125" style="24" customWidth="1"/>
    <col min="6" max="16384" width="8.7265625" style="24"/>
  </cols>
  <sheetData>
    <row r="1" spans="2:5" ht="58" x14ac:dyDescent="0.35">
      <c r="C1" s="25" t="s">
        <v>103</v>
      </c>
    </row>
    <row r="4" spans="2:5" x14ac:dyDescent="0.35">
      <c r="B4" s="28" t="s">
        <v>93</v>
      </c>
      <c r="C4" s="29" t="s">
        <v>94</v>
      </c>
      <c r="D4" s="29" t="s">
        <v>95</v>
      </c>
      <c r="E4" s="28" t="s">
        <v>96</v>
      </c>
    </row>
    <row r="5" spans="2:5" ht="29" x14ac:dyDescent="0.35">
      <c r="B5" s="26">
        <v>1</v>
      </c>
      <c r="C5" s="27" t="s">
        <v>106</v>
      </c>
      <c r="D5" s="27" t="s">
        <v>104</v>
      </c>
      <c r="E5" s="26" t="s">
        <v>97</v>
      </c>
    </row>
    <row r="6" spans="2:5" ht="29" x14ac:dyDescent="0.35">
      <c r="B6" s="26">
        <v>2</v>
      </c>
      <c r="C6" s="27" t="s">
        <v>107</v>
      </c>
      <c r="D6" s="27" t="s">
        <v>105</v>
      </c>
      <c r="E6" s="26" t="s">
        <v>98</v>
      </c>
    </row>
    <row r="7" spans="2:5" ht="29" x14ac:dyDescent="0.35">
      <c r="B7" s="26">
        <v>3</v>
      </c>
      <c r="C7" s="27" t="s">
        <v>108</v>
      </c>
      <c r="D7" s="27"/>
      <c r="E7" s="26"/>
    </row>
    <row r="8" spans="2:5" x14ac:dyDescent="0.35">
      <c r="B8" s="26">
        <v>4</v>
      </c>
      <c r="C8" s="27" t="s">
        <v>109</v>
      </c>
      <c r="D8" s="27"/>
      <c r="E8" s="26"/>
    </row>
    <row r="9" spans="2:5" ht="58" x14ac:dyDescent="0.35">
      <c r="B9" s="26">
        <v>5</v>
      </c>
      <c r="C9" s="27" t="s">
        <v>110</v>
      </c>
      <c r="D9" s="27" t="s">
        <v>111</v>
      </c>
      <c r="E9" s="26" t="s">
        <v>98</v>
      </c>
    </row>
    <row r="10" spans="2:5" x14ac:dyDescent="0.35">
      <c r="B10" s="26">
        <v>6</v>
      </c>
      <c r="C10" s="27" t="s">
        <v>112</v>
      </c>
      <c r="D10" s="27" t="s">
        <v>113</v>
      </c>
      <c r="E10" s="26" t="s">
        <v>98</v>
      </c>
    </row>
    <row r="11" spans="2:5" ht="29" x14ac:dyDescent="0.35">
      <c r="B11" s="26">
        <v>7</v>
      </c>
      <c r="C11" s="27" t="s">
        <v>99</v>
      </c>
      <c r="D11" s="27" t="s">
        <v>114</v>
      </c>
      <c r="E11" s="26"/>
    </row>
    <row r="12" spans="2:5" x14ac:dyDescent="0.35">
      <c r="B12" s="26">
        <v>9</v>
      </c>
      <c r="C12" s="27" t="s">
        <v>115</v>
      </c>
      <c r="D12" s="27"/>
      <c r="E12" s="26"/>
    </row>
    <row r="13" spans="2:5" ht="29" x14ac:dyDescent="0.35">
      <c r="B13" s="26">
        <v>10</v>
      </c>
      <c r="C13" s="27" t="s">
        <v>116</v>
      </c>
      <c r="D13" s="27"/>
      <c r="E13" s="26" t="s">
        <v>98</v>
      </c>
    </row>
    <row r="14" spans="2:5" ht="43.5" x14ac:dyDescent="0.35">
      <c r="B14" s="26">
        <v>11</v>
      </c>
      <c r="C14" s="27" t="s">
        <v>118</v>
      </c>
      <c r="D14" s="27"/>
      <c r="E14" s="26"/>
    </row>
    <row r="15" spans="2:5" ht="29" x14ac:dyDescent="0.35">
      <c r="B15" s="26">
        <v>12</v>
      </c>
      <c r="C15" s="27" t="s">
        <v>117</v>
      </c>
      <c r="D15" s="27"/>
      <c r="E15" s="26"/>
    </row>
    <row r="16" spans="2:5" x14ac:dyDescent="0.35">
      <c r="B16" s="26">
        <v>13</v>
      </c>
      <c r="C16" s="27" t="s">
        <v>100</v>
      </c>
      <c r="D16" s="27"/>
      <c r="E16" s="26"/>
    </row>
    <row r="17" spans="2:5" x14ac:dyDescent="0.35">
      <c r="B17" s="26">
        <v>14</v>
      </c>
      <c r="C17" s="27" t="s">
        <v>101</v>
      </c>
      <c r="D17" s="27"/>
      <c r="E17" s="26"/>
    </row>
    <row r="18" spans="2:5" ht="29" x14ac:dyDescent="0.35">
      <c r="B18" s="26">
        <v>15</v>
      </c>
      <c r="C18" s="27" t="s">
        <v>102</v>
      </c>
      <c r="D18" s="27"/>
      <c r="E1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5B50-F574-47C9-ACB6-CF20C171943C}">
  <dimension ref="A9:AB275"/>
  <sheetViews>
    <sheetView topLeftCell="A20" workbookViewId="0">
      <selection activeCell="G17" sqref="G17"/>
    </sheetView>
  </sheetViews>
  <sheetFormatPr defaultRowHeight="14.5" x14ac:dyDescent="0.35"/>
  <cols>
    <col min="1" max="1" width="12.26953125" style="10" customWidth="1"/>
    <col min="2" max="2" width="16.26953125" style="10" customWidth="1"/>
    <col min="3" max="4" width="8.7265625" style="10"/>
    <col min="5" max="5" width="11.54296875" style="10" customWidth="1"/>
    <col min="6" max="9" width="8.7265625" style="10"/>
    <col min="10" max="10" width="13.54296875" style="10" customWidth="1"/>
    <col min="11" max="11" width="16.81640625" style="10" customWidth="1"/>
    <col min="12" max="12" width="8.7265625" style="10"/>
    <col min="13" max="13" width="10.36328125" style="10" customWidth="1"/>
    <col min="14" max="14" width="10.90625" style="10" customWidth="1"/>
    <col min="15" max="19" width="8.7265625" style="10"/>
    <col min="20" max="20" width="17.90625" style="10" customWidth="1"/>
    <col min="21" max="21" width="10.7265625" style="10" customWidth="1"/>
    <col min="22" max="22" width="13.6328125" style="10" customWidth="1"/>
    <col min="23" max="24" width="8.7265625" style="10"/>
    <col min="25" max="25" width="14.90625" style="10" customWidth="1"/>
    <col min="26" max="26" width="11.08984375" style="10" customWidth="1"/>
    <col min="27" max="27" width="11.81640625" style="10" customWidth="1"/>
    <col min="28" max="28" width="13.1796875" style="10" customWidth="1"/>
    <col min="29" max="16384" width="8.7265625" style="10"/>
  </cols>
  <sheetData>
    <row r="9" spans="1:21" x14ac:dyDescent="0.35">
      <c r="A9" s="5" t="s">
        <v>0</v>
      </c>
      <c r="B9" s="8" t="s">
        <v>1</v>
      </c>
      <c r="J9" s="5" t="s">
        <v>0</v>
      </c>
      <c r="K9" s="8" t="s">
        <v>2</v>
      </c>
    </row>
    <row r="10" spans="1:21" x14ac:dyDescent="0.35">
      <c r="A10" s="5" t="s">
        <v>3</v>
      </c>
      <c r="B10" s="7">
        <v>43450</v>
      </c>
      <c r="J10" s="5" t="s">
        <v>3</v>
      </c>
      <c r="K10" s="7">
        <v>43450</v>
      </c>
    </row>
    <row r="11" spans="1:21" x14ac:dyDescent="0.35">
      <c r="A11" s="5" t="s">
        <v>4</v>
      </c>
      <c r="B11" s="7">
        <v>45263</v>
      </c>
      <c r="J11" s="5" t="s">
        <v>4</v>
      </c>
      <c r="K11" s="7">
        <v>45263</v>
      </c>
    </row>
    <row r="12" spans="1:21" x14ac:dyDescent="0.35">
      <c r="A12" s="5" t="s">
        <v>5</v>
      </c>
      <c r="B12" s="8" t="s">
        <v>40</v>
      </c>
      <c r="J12" s="5" t="s">
        <v>5</v>
      </c>
      <c r="K12" s="8" t="s">
        <v>40</v>
      </c>
    </row>
    <row r="13" spans="1:21" x14ac:dyDescent="0.35">
      <c r="A13" s="5" t="s">
        <v>7</v>
      </c>
      <c r="B13" s="8" t="s">
        <v>8</v>
      </c>
      <c r="J13" s="5" t="s">
        <v>7</v>
      </c>
      <c r="K13" s="8" t="s">
        <v>8</v>
      </c>
      <c r="T13" s="5" t="s">
        <v>9</v>
      </c>
    </row>
    <row r="15" spans="1:21" x14ac:dyDescent="0.35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12</v>
      </c>
      <c r="G15" s="5" t="s">
        <v>13</v>
      </c>
      <c r="J15" s="5" t="s">
        <v>10</v>
      </c>
      <c r="K15" s="5" t="s">
        <v>11</v>
      </c>
      <c r="L15" s="5" t="s">
        <v>12</v>
      </c>
      <c r="M15" s="5" t="s">
        <v>13</v>
      </c>
      <c r="N15" s="5" t="s">
        <v>14</v>
      </c>
      <c r="O15" s="5" t="s">
        <v>12</v>
      </c>
      <c r="P15" s="5" t="s">
        <v>13</v>
      </c>
      <c r="T15" s="4" t="s">
        <v>15</v>
      </c>
      <c r="U15" s="4"/>
    </row>
    <row r="16" spans="1:21" x14ac:dyDescent="0.35">
      <c r="A16" s="6" t="e">
        <v>#NAME?</v>
      </c>
      <c r="B16" s="8">
        <v>4101.3999999999996</v>
      </c>
      <c r="C16" s="8">
        <v>29.099999999999454</v>
      </c>
      <c r="D16" s="8">
        <v>0.71458389607836981</v>
      </c>
      <c r="E16" s="8" t="e">
        <v>#NAME?</v>
      </c>
      <c r="F16" s="8" t="s">
        <v>16</v>
      </c>
      <c r="G16" s="8" t="s">
        <v>16</v>
      </c>
      <c r="J16" s="6" t="e">
        <v>#NAME?</v>
      </c>
      <c r="K16" s="8">
        <v>18115.349999999999</v>
      </c>
      <c r="L16" s="8">
        <v>471.84999999999854</v>
      </c>
      <c r="M16" s="8">
        <v>2.6743559951256755</v>
      </c>
      <c r="N16" s="8" t="e">
        <v>#NAME?</v>
      </c>
      <c r="O16" s="8" t="s">
        <v>16</v>
      </c>
      <c r="P16" s="8" t="s">
        <v>16</v>
      </c>
      <c r="T16" s="5" t="s">
        <v>17</v>
      </c>
      <c r="U16" s="8">
        <v>0.34093739245380839</v>
      </c>
    </row>
    <row r="17" spans="1:28" x14ac:dyDescent="0.35">
      <c r="A17" s="6">
        <v>45256</v>
      </c>
      <c r="B17" s="8">
        <v>4072.3</v>
      </c>
      <c r="C17" s="8">
        <v>86.350000000000364</v>
      </c>
      <c r="D17" s="8">
        <v>2.1663593371718251</v>
      </c>
      <c r="E17" s="8">
        <v>155586</v>
      </c>
      <c r="F17" s="8">
        <v>110736</v>
      </c>
      <c r="G17" s="8">
        <v>246.90301003344482</v>
      </c>
      <c r="J17" s="6">
        <v>45256</v>
      </c>
      <c r="K17" s="8">
        <v>17643.5</v>
      </c>
      <c r="L17" s="8">
        <v>43</v>
      </c>
      <c r="M17" s="8">
        <v>0.24431124115792166</v>
      </c>
      <c r="N17" s="8">
        <v>9510243708</v>
      </c>
      <c r="O17" s="8">
        <v>-750221801</v>
      </c>
      <c r="P17" s="8">
        <v>-7.3117715793882896</v>
      </c>
      <c r="T17" s="5" t="s">
        <v>18</v>
      </c>
      <c r="U17" s="8">
        <v>0.11623830557320215</v>
      </c>
    </row>
    <row r="18" spans="1:28" x14ac:dyDescent="0.35">
      <c r="A18" s="6">
        <v>45249</v>
      </c>
      <c r="B18" s="8">
        <v>3985.95</v>
      </c>
      <c r="C18" s="8">
        <v>81.149999999999636</v>
      </c>
      <c r="D18" s="8">
        <v>2.0782114320835801</v>
      </c>
      <c r="E18" s="8">
        <v>44850</v>
      </c>
      <c r="F18" s="8">
        <v>-22145</v>
      </c>
      <c r="G18" s="8">
        <v>-33.054705575042917</v>
      </c>
      <c r="J18" s="6">
        <v>45249</v>
      </c>
      <c r="K18" s="8">
        <v>17600.5</v>
      </c>
      <c r="L18" s="8">
        <v>239.40000000000146</v>
      </c>
      <c r="M18" s="8">
        <v>1.3789448825247332</v>
      </c>
      <c r="N18" s="8">
        <v>10260465509</v>
      </c>
      <c r="O18" s="8">
        <v>95280018</v>
      </c>
      <c r="P18" s="8">
        <v>0.93731706208763765</v>
      </c>
      <c r="T18" s="5" t="s">
        <v>19</v>
      </c>
      <c r="U18" s="8">
        <v>0.11279954411628854</v>
      </c>
    </row>
    <row r="19" spans="1:28" x14ac:dyDescent="0.35">
      <c r="A19" s="6">
        <v>45242</v>
      </c>
      <c r="B19" s="8">
        <v>3904.8</v>
      </c>
      <c r="C19" s="8">
        <v>18.650000000000091</v>
      </c>
      <c r="D19" s="8">
        <v>0.47990942192144126</v>
      </c>
      <c r="E19" s="8">
        <v>66995</v>
      </c>
      <c r="F19" s="8">
        <v>3184</v>
      </c>
      <c r="G19" s="8">
        <v>4.9897353120935266</v>
      </c>
      <c r="J19" s="6">
        <v>45242</v>
      </c>
      <c r="K19" s="8">
        <v>17361.099999999999</v>
      </c>
      <c r="L19" s="8">
        <v>360.14999999999782</v>
      </c>
      <c r="M19" s="8">
        <v>2.1184110299718415</v>
      </c>
      <c r="N19" s="8">
        <v>10165185491</v>
      </c>
      <c r="O19" s="8">
        <v>-815271525</v>
      </c>
      <c r="P19" s="8">
        <v>-7.4247503889140489</v>
      </c>
      <c r="T19" s="5" t="s">
        <v>20</v>
      </c>
      <c r="U19" s="8">
        <v>2.906412027070012</v>
      </c>
    </row>
    <row r="20" spans="1:28" x14ac:dyDescent="0.35">
      <c r="A20" s="6">
        <v>45235</v>
      </c>
      <c r="B20" s="8">
        <v>3886.15</v>
      </c>
      <c r="C20" s="8">
        <v>-50.400000000000091</v>
      </c>
      <c r="D20" s="8">
        <v>-1.2803088999250636</v>
      </c>
      <c r="E20" s="8">
        <v>63811</v>
      </c>
      <c r="F20" s="8">
        <v>-18435</v>
      </c>
      <c r="G20" s="8">
        <v>-22.41446392529728</v>
      </c>
      <c r="J20" s="6">
        <v>45235</v>
      </c>
      <c r="K20" s="8">
        <v>17000.95</v>
      </c>
      <c r="L20" s="8">
        <v>235.5</v>
      </c>
      <c r="M20" s="8">
        <v>1.4046744942724472</v>
      </c>
      <c r="N20" s="8">
        <v>10980457016</v>
      </c>
      <c r="O20" s="8">
        <v>1279000628</v>
      </c>
      <c r="P20" s="8">
        <v>13.183594058950069</v>
      </c>
      <c r="T20" s="5" t="s">
        <v>21</v>
      </c>
      <c r="U20" s="8">
        <v>259</v>
      </c>
    </row>
    <row r="21" spans="1:28" x14ac:dyDescent="0.35">
      <c r="A21" s="6">
        <v>45228</v>
      </c>
      <c r="B21" s="8">
        <v>3936.55</v>
      </c>
      <c r="C21" s="8">
        <v>-18.5</v>
      </c>
      <c r="D21" s="8">
        <v>-0.46775641268757662</v>
      </c>
      <c r="E21" s="8">
        <v>82246</v>
      </c>
      <c r="F21" s="8">
        <v>-71749</v>
      </c>
      <c r="G21" s="8">
        <v>-46.59177246014481</v>
      </c>
      <c r="J21" s="6">
        <v>45228</v>
      </c>
      <c r="K21" s="8">
        <v>16765.45</v>
      </c>
      <c r="L21" s="8">
        <v>-443.29999999999927</v>
      </c>
      <c r="M21" s="8">
        <v>-2.5760151085930079</v>
      </c>
      <c r="N21" s="8">
        <v>9701456388</v>
      </c>
      <c r="O21" s="8">
        <v>-1604523186</v>
      </c>
      <c r="P21" s="8">
        <v>-14.191810408802354</v>
      </c>
    </row>
    <row r="22" spans="1:28" x14ac:dyDescent="0.35">
      <c r="A22" s="6">
        <v>45221</v>
      </c>
      <c r="B22" s="8">
        <v>3955.05</v>
      </c>
      <c r="C22" s="8">
        <v>-21.049999999999727</v>
      </c>
      <c r="D22" s="8">
        <v>-0.52941324413369195</v>
      </c>
      <c r="E22" s="8">
        <v>153995</v>
      </c>
      <c r="F22" s="8">
        <v>3355</v>
      </c>
      <c r="G22" s="8">
        <v>2.2271640998406799</v>
      </c>
      <c r="J22" s="6">
        <v>45221</v>
      </c>
      <c r="K22" s="8">
        <v>17208.75</v>
      </c>
      <c r="L22" s="8">
        <v>-181.59999999999854</v>
      </c>
      <c r="M22" s="8">
        <v>-1.0442573036195277</v>
      </c>
      <c r="N22" s="8">
        <v>11305979574</v>
      </c>
      <c r="O22" s="8">
        <v>356924204</v>
      </c>
      <c r="P22" s="8">
        <v>3.259862992180667</v>
      </c>
      <c r="T22" s="8" t="s">
        <v>22</v>
      </c>
      <c r="U22" s="8"/>
      <c r="V22" s="8"/>
      <c r="W22" s="8"/>
      <c r="X22" s="8"/>
      <c r="Y22" s="8"/>
    </row>
    <row r="23" spans="1:28" x14ac:dyDescent="0.35">
      <c r="A23" s="6">
        <v>45214</v>
      </c>
      <c r="B23" s="8">
        <v>3976.1</v>
      </c>
      <c r="C23" s="8">
        <v>-13</v>
      </c>
      <c r="D23" s="8">
        <v>-0.32588804492241358</v>
      </c>
      <c r="E23" s="8">
        <v>150640</v>
      </c>
      <c r="F23" s="8">
        <v>71751</v>
      </c>
      <c r="G23" s="8">
        <v>90.951843729797559</v>
      </c>
      <c r="J23" s="6">
        <v>45214</v>
      </c>
      <c r="K23" s="8">
        <v>17390.349999999999</v>
      </c>
      <c r="L23" s="8">
        <v>96.75</v>
      </c>
      <c r="M23" s="8">
        <v>0.55945552111763897</v>
      </c>
      <c r="N23" s="8">
        <v>10949055370</v>
      </c>
      <c r="O23" s="8">
        <v>760084767</v>
      </c>
      <c r="P23" s="8">
        <v>7.459877907354092</v>
      </c>
      <c r="T23" s="3"/>
      <c r="U23" s="3" t="s">
        <v>23</v>
      </c>
      <c r="V23" s="3" t="s">
        <v>24</v>
      </c>
      <c r="W23" s="3" t="s">
        <v>25</v>
      </c>
      <c r="X23" s="3" t="s">
        <v>26</v>
      </c>
      <c r="Y23" s="3" t="s">
        <v>27</v>
      </c>
    </row>
    <row r="24" spans="1:28" x14ac:dyDescent="0.35">
      <c r="A24" s="6">
        <v>45207</v>
      </c>
      <c r="B24" s="8">
        <v>3989.1</v>
      </c>
      <c r="C24" s="8">
        <v>129.44999999999982</v>
      </c>
      <c r="D24" s="8">
        <v>3.3539310559247553</v>
      </c>
      <c r="E24" s="8">
        <v>78889</v>
      </c>
      <c r="F24" s="8">
        <v>19665</v>
      </c>
      <c r="G24" s="8">
        <v>33.204444144265835</v>
      </c>
      <c r="J24" s="6">
        <v>45207</v>
      </c>
      <c r="K24" s="8">
        <v>17293.599999999999</v>
      </c>
      <c r="L24" s="8">
        <v>1</v>
      </c>
      <c r="M24" s="8">
        <v>5.7828203971641056E-3</v>
      </c>
      <c r="N24" s="8">
        <v>10188970603</v>
      </c>
      <c r="O24" s="8">
        <v>-2013159067</v>
      </c>
      <c r="P24" s="8">
        <v>-16.498423811619762</v>
      </c>
      <c r="T24" s="5" t="s">
        <v>28</v>
      </c>
      <c r="U24" s="8">
        <v>1</v>
      </c>
      <c r="V24" s="8">
        <v>285.5364687387364</v>
      </c>
      <c r="W24" s="8">
        <v>285.5364687387364</v>
      </c>
      <c r="X24" s="8">
        <v>33.802375369627839</v>
      </c>
      <c r="Y24" s="8">
        <v>1.8030759001672004E-8</v>
      </c>
    </row>
    <row r="25" spans="1:28" x14ac:dyDescent="0.35">
      <c r="A25" s="6">
        <v>45200</v>
      </c>
      <c r="B25" s="8">
        <v>3859.65</v>
      </c>
      <c r="C25" s="8">
        <v>1.7000000000002728</v>
      </c>
      <c r="D25" s="8">
        <v>4.4064853095563003E-2</v>
      </c>
      <c r="E25" s="8">
        <v>59224</v>
      </c>
      <c r="F25" s="8">
        <v>-90936</v>
      </c>
      <c r="G25" s="8">
        <v>-60.559403303143313</v>
      </c>
      <c r="J25" s="6">
        <v>45200</v>
      </c>
      <c r="K25" s="8">
        <v>17292.599999999999</v>
      </c>
      <c r="L25" s="8">
        <v>31.799999999999272</v>
      </c>
      <c r="M25" s="8">
        <v>0.18423248053392238</v>
      </c>
      <c r="N25" s="8">
        <v>12202129670</v>
      </c>
      <c r="O25" s="8">
        <v>-1275667258</v>
      </c>
      <c r="P25" s="8">
        <v>-9.4649538408596499</v>
      </c>
      <c r="T25" s="5" t="s">
        <v>29</v>
      </c>
      <c r="U25" s="8">
        <v>257</v>
      </c>
      <c r="V25" s="8">
        <v>2170.9383338719845</v>
      </c>
      <c r="W25" s="8">
        <v>8.447230871097215</v>
      </c>
      <c r="X25" s="8"/>
      <c r="Y25" s="8"/>
    </row>
    <row r="26" spans="1:28" x14ac:dyDescent="0.35">
      <c r="A26" s="6">
        <v>45193</v>
      </c>
      <c r="B26" s="8">
        <v>3857.95</v>
      </c>
      <c r="C26" s="8">
        <v>-47.100000000000364</v>
      </c>
      <c r="D26" s="8">
        <v>-1.2061305232967661</v>
      </c>
      <c r="E26" s="8">
        <v>150160</v>
      </c>
      <c r="F26" s="8">
        <v>-25931</v>
      </c>
      <c r="G26" s="8">
        <v>-14.725908763082725</v>
      </c>
      <c r="J26" s="6">
        <v>45193</v>
      </c>
      <c r="K26" s="8">
        <v>17260.8</v>
      </c>
      <c r="L26" s="8">
        <v>-405</v>
      </c>
      <c r="M26" s="8">
        <v>-2.2925652956560132</v>
      </c>
      <c r="N26" s="8">
        <v>13477796928</v>
      </c>
      <c r="O26" s="8">
        <v>-5240963354</v>
      </c>
      <c r="P26" s="8">
        <v>-27.998453289877972</v>
      </c>
      <c r="T26" s="5" t="s">
        <v>30</v>
      </c>
      <c r="U26" s="8">
        <v>258</v>
      </c>
      <c r="V26" s="8">
        <v>2456.4748026107209</v>
      </c>
      <c r="W26" s="8"/>
      <c r="X26" s="8"/>
      <c r="Y26" s="8"/>
    </row>
    <row r="27" spans="1:28" x14ac:dyDescent="0.35">
      <c r="A27" s="6">
        <v>45186</v>
      </c>
      <c r="B27" s="8">
        <v>3905.05</v>
      </c>
      <c r="C27" s="8">
        <v>57.5</v>
      </c>
      <c r="D27" s="8">
        <v>1.4944575119231718</v>
      </c>
      <c r="E27" s="8">
        <v>176091</v>
      </c>
      <c r="F27" s="8">
        <v>-250027</v>
      </c>
      <c r="G27" s="8">
        <v>-58.675531190890787</v>
      </c>
      <c r="J27" s="6">
        <v>45186</v>
      </c>
      <c r="K27" s="8">
        <v>17665.8</v>
      </c>
      <c r="L27" s="8">
        <v>178.34999999999854</v>
      </c>
      <c r="M27" s="8">
        <v>1.0198742526783409</v>
      </c>
      <c r="N27" s="8">
        <v>18718760282</v>
      </c>
      <c r="O27" s="8">
        <v>1730022294</v>
      </c>
      <c r="P27" s="8">
        <v>10.183347905076891</v>
      </c>
    </row>
    <row r="28" spans="1:28" x14ac:dyDescent="0.35">
      <c r="A28" s="6">
        <v>45179</v>
      </c>
      <c r="B28" s="8">
        <v>3847.55</v>
      </c>
      <c r="C28" s="8">
        <v>32</v>
      </c>
      <c r="D28" s="8">
        <v>0.83867332363617297</v>
      </c>
      <c r="E28" s="8">
        <v>426118</v>
      </c>
      <c r="F28" s="8">
        <v>375436</v>
      </c>
      <c r="G28" s="8">
        <v>740.76792549623144</v>
      </c>
      <c r="J28" s="6">
        <v>45179</v>
      </c>
      <c r="K28" s="8">
        <v>17487.45</v>
      </c>
      <c r="L28" s="8">
        <v>412.90000000000146</v>
      </c>
      <c r="M28" s="8">
        <v>2.4182189281708828</v>
      </c>
      <c r="N28" s="8">
        <v>16988737988</v>
      </c>
      <c r="O28" s="8">
        <v>1908900820</v>
      </c>
      <c r="P28" s="8">
        <v>12.658630187670472</v>
      </c>
      <c r="T28" s="3"/>
      <c r="U28" s="3" t="s">
        <v>31</v>
      </c>
      <c r="V28" s="3" t="s">
        <v>20</v>
      </c>
      <c r="W28" s="3" t="s">
        <v>32</v>
      </c>
      <c r="X28" s="3" t="s">
        <v>33</v>
      </c>
      <c r="Y28" s="3" t="s">
        <v>34</v>
      </c>
      <c r="Z28" s="3" t="s">
        <v>35</v>
      </c>
      <c r="AA28" s="3" t="s">
        <v>36</v>
      </c>
      <c r="AB28" s="3" t="s">
        <v>37</v>
      </c>
    </row>
    <row r="29" spans="1:28" x14ac:dyDescent="0.35">
      <c r="A29" s="6">
        <v>45172</v>
      </c>
      <c r="B29" s="8">
        <v>3815.55</v>
      </c>
      <c r="C29" s="8">
        <v>-27.549999999999727</v>
      </c>
      <c r="D29" s="8">
        <v>-0.71686919414014016</v>
      </c>
      <c r="E29" s="8">
        <v>50682</v>
      </c>
      <c r="F29" s="8">
        <v>-35666</v>
      </c>
      <c r="G29" s="8">
        <v>-41.304952054477234</v>
      </c>
      <c r="J29" s="6">
        <v>45172</v>
      </c>
      <c r="K29" s="8">
        <v>17074.55</v>
      </c>
      <c r="L29" s="8">
        <v>253.70000000000073</v>
      </c>
      <c r="M29" s="8">
        <v>1.5082472051055729</v>
      </c>
      <c r="N29" s="8">
        <v>15079837168</v>
      </c>
      <c r="O29" s="8">
        <v>3859809452</v>
      </c>
      <c r="P29" s="8">
        <v>34.401068782529201</v>
      </c>
      <c r="T29" s="5" t="s">
        <v>38</v>
      </c>
      <c r="U29" s="8">
        <v>6.2320954986391008E-2</v>
      </c>
      <c r="V29" s="8">
        <v>0.18188922980790168</v>
      </c>
      <c r="W29" s="8">
        <v>0.34263136444202835</v>
      </c>
      <c r="X29" s="8">
        <v>0.73215586669134725</v>
      </c>
      <c r="Y29" s="8">
        <v>-0.29586213651239346</v>
      </c>
      <c r="Z29" s="8">
        <v>0.42050404648517548</v>
      </c>
      <c r="AA29" s="8">
        <v>-0.29586213651239346</v>
      </c>
      <c r="AB29" s="8">
        <v>0.42050404648517548</v>
      </c>
    </row>
    <row r="30" spans="1:28" x14ac:dyDescent="0.35">
      <c r="A30" s="6">
        <v>45165</v>
      </c>
      <c r="B30" s="8">
        <v>3843.1</v>
      </c>
      <c r="C30" s="8">
        <v>-69.75</v>
      </c>
      <c r="D30" s="8">
        <v>-1.7825881390802101</v>
      </c>
      <c r="E30" s="8">
        <v>86348</v>
      </c>
      <c r="F30" s="8">
        <v>-8058</v>
      </c>
      <c r="G30" s="8">
        <v>-8.5354744401838865</v>
      </c>
      <c r="J30" s="6">
        <v>45165</v>
      </c>
      <c r="K30" s="8">
        <v>16820.849999999999</v>
      </c>
      <c r="L30" s="8">
        <v>63.149999999997817</v>
      </c>
      <c r="M30" s="8">
        <v>0.37684169068546292</v>
      </c>
      <c r="N30" s="8">
        <v>11220027716</v>
      </c>
      <c r="O30" s="8">
        <v>3280330504</v>
      </c>
      <c r="P30" s="8">
        <v>41.315561745127162</v>
      </c>
      <c r="T30" s="5" t="s">
        <v>39</v>
      </c>
      <c r="U30" s="2">
        <v>0.42312666310027908</v>
      </c>
      <c r="V30" s="8">
        <v>7.2777441346075999E-2</v>
      </c>
      <c r="W30" s="8">
        <v>5.813981025908836</v>
      </c>
      <c r="X30" s="8">
        <v>1.8030759001671074E-8</v>
      </c>
      <c r="Y30" s="8">
        <v>0.27981059672163899</v>
      </c>
      <c r="Z30" s="8">
        <v>0.56644272947891916</v>
      </c>
      <c r="AA30" s="8">
        <v>0.27981059672163899</v>
      </c>
      <c r="AB30" s="8">
        <v>0.56644272947891916</v>
      </c>
    </row>
    <row r="31" spans="1:28" x14ac:dyDescent="0.35">
      <c r="A31" s="6">
        <v>45158</v>
      </c>
      <c r="B31" s="8">
        <v>3912.85</v>
      </c>
      <c r="C31" s="8">
        <v>-52.400000000000091</v>
      </c>
      <c r="D31" s="8">
        <v>-1.3214803606330014</v>
      </c>
      <c r="E31" s="8">
        <v>94406</v>
      </c>
      <c r="F31" s="8">
        <v>-62122</v>
      </c>
      <c r="G31" s="8">
        <v>-39.687468056833282</v>
      </c>
      <c r="J31" s="6">
        <v>45158</v>
      </c>
      <c r="K31" s="8">
        <v>16757.7</v>
      </c>
      <c r="L31" s="8">
        <v>-102.45000000000073</v>
      </c>
      <c r="M31" s="8">
        <v>-0.60764583944983119</v>
      </c>
      <c r="N31" s="8">
        <v>7939697212</v>
      </c>
      <c r="O31" s="8">
        <v>-3446851397</v>
      </c>
      <c r="P31" s="8">
        <v>-30.271257036355923</v>
      </c>
    </row>
    <row r="32" spans="1:28" x14ac:dyDescent="0.35">
      <c r="A32" s="6">
        <v>45151</v>
      </c>
      <c r="B32" s="8">
        <v>3965.25</v>
      </c>
      <c r="C32" s="8">
        <v>1.1999999999998181</v>
      </c>
      <c r="D32" s="8">
        <v>3.0272070231198347E-2</v>
      </c>
      <c r="E32" s="8">
        <v>156528</v>
      </c>
      <c r="F32" s="8">
        <v>63146</v>
      </c>
      <c r="G32" s="8">
        <v>67.621168961898434</v>
      </c>
      <c r="J32" s="6">
        <v>45151</v>
      </c>
      <c r="K32" s="8">
        <v>16860.150000000001</v>
      </c>
      <c r="L32" s="8">
        <v>-30.44999999999709</v>
      </c>
      <c r="M32" s="8">
        <v>-0.1802777876451819</v>
      </c>
      <c r="N32" s="8">
        <v>11386548609</v>
      </c>
      <c r="O32" s="8">
        <v>-991383412</v>
      </c>
      <c r="P32" s="8">
        <v>-8.0092814398887544</v>
      </c>
    </row>
    <row r="33" spans="1:16" x14ac:dyDescent="0.35">
      <c r="A33" s="6">
        <v>45144</v>
      </c>
      <c r="B33" s="8">
        <v>3964.05</v>
      </c>
      <c r="C33" s="8">
        <v>-14</v>
      </c>
      <c r="D33" s="8">
        <v>-0.35193122258392928</v>
      </c>
      <c r="E33" s="8">
        <v>93382</v>
      </c>
      <c r="F33" s="8">
        <v>14632</v>
      </c>
      <c r="G33" s="8">
        <v>18.58031746031746</v>
      </c>
      <c r="J33" s="6">
        <v>45144</v>
      </c>
      <c r="K33" s="8">
        <v>16890.599999999999</v>
      </c>
      <c r="L33" s="8">
        <v>-57.75</v>
      </c>
      <c r="M33" s="8">
        <v>-0.34074113409269929</v>
      </c>
      <c r="N33" s="8">
        <v>12377932021</v>
      </c>
      <c r="O33" s="8">
        <v>343476021</v>
      </c>
      <c r="P33" s="8">
        <v>2.8541050879242071</v>
      </c>
    </row>
    <row r="34" spans="1:16" x14ac:dyDescent="0.35">
      <c r="A34" s="6">
        <v>45137</v>
      </c>
      <c r="B34" s="8">
        <v>3978.05</v>
      </c>
      <c r="C34" s="8">
        <v>90.400000000000091</v>
      </c>
      <c r="D34" s="8">
        <v>2.325312206602963</v>
      </c>
      <c r="E34" s="8">
        <v>78750</v>
      </c>
      <c r="F34" s="8">
        <v>-3013</v>
      </c>
      <c r="G34" s="8">
        <v>-3.6850409109254798</v>
      </c>
      <c r="J34" s="6">
        <v>45137</v>
      </c>
      <c r="K34" s="8">
        <v>16948.349999999999</v>
      </c>
      <c r="L34" s="8">
        <v>44.049999999999272</v>
      </c>
      <c r="M34" s="8">
        <v>0.26058458498724746</v>
      </c>
      <c r="N34" s="8">
        <v>12034456000</v>
      </c>
      <c r="O34" s="8">
        <v>1482712303</v>
      </c>
      <c r="P34" s="8">
        <v>14.051822576220788</v>
      </c>
    </row>
    <row r="35" spans="1:16" x14ac:dyDescent="0.35">
      <c r="A35" s="6">
        <v>45130</v>
      </c>
      <c r="B35" s="8">
        <v>3887.65</v>
      </c>
      <c r="C35" s="8">
        <v>99.650000000000091</v>
      </c>
      <c r="D35" s="8">
        <v>2.6306758183738146</v>
      </c>
      <c r="E35" s="8">
        <v>81763</v>
      </c>
      <c r="F35" s="8">
        <v>-29888</v>
      </c>
      <c r="G35" s="8">
        <v>-26.769128803145517</v>
      </c>
      <c r="J35" s="6">
        <v>45130</v>
      </c>
      <c r="K35" s="8">
        <v>16904.3</v>
      </c>
      <c r="L35" s="8">
        <v>138.84999999999854</v>
      </c>
      <c r="M35" s="8">
        <v>0.82819131010499891</v>
      </c>
      <c r="N35" s="8">
        <v>10551743697</v>
      </c>
      <c r="O35" s="8">
        <v>841263558</v>
      </c>
      <c r="P35" s="8">
        <v>8.6634599521114364</v>
      </c>
    </row>
    <row r="36" spans="1:16" x14ac:dyDescent="0.35">
      <c r="A36" s="6">
        <v>45123</v>
      </c>
      <c r="B36" s="8">
        <v>3788</v>
      </c>
      <c r="C36" s="8">
        <v>-12.349999999999909</v>
      </c>
      <c r="D36" s="8">
        <v>-0.32497006854631572</v>
      </c>
      <c r="E36" s="8">
        <v>111651</v>
      </c>
      <c r="F36" s="8">
        <v>-140949</v>
      </c>
      <c r="G36" s="8">
        <v>-55.799287410926368</v>
      </c>
      <c r="J36" s="6">
        <v>45123</v>
      </c>
      <c r="K36" s="8">
        <v>16765.45</v>
      </c>
      <c r="L36" s="8">
        <v>200.54999999999927</v>
      </c>
      <c r="M36" s="8">
        <v>1.2106924883337615</v>
      </c>
      <c r="N36" s="8">
        <v>9710480139</v>
      </c>
      <c r="O36" s="8">
        <v>-2400906597</v>
      </c>
      <c r="P36" s="8">
        <v>-19.823548280095149</v>
      </c>
    </row>
    <row r="37" spans="1:16" x14ac:dyDescent="0.35">
      <c r="A37" s="6">
        <v>45116</v>
      </c>
      <c r="B37" s="8">
        <v>3800.35</v>
      </c>
      <c r="C37" s="8">
        <v>23.199999999999818</v>
      </c>
      <c r="D37" s="8">
        <v>0.61421971592337654</v>
      </c>
      <c r="E37" s="8">
        <v>252600</v>
      </c>
      <c r="F37" s="8">
        <v>45345</v>
      </c>
      <c r="G37" s="8">
        <v>21.878844901208655</v>
      </c>
      <c r="J37" s="6">
        <v>45116</v>
      </c>
      <c r="K37" s="8">
        <v>16564.900000000001</v>
      </c>
      <c r="L37" s="8">
        <v>134.90000000000146</v>
      </c>
      <c r="M37" s="8">
        <v>0.82105903834450067</v>
      </c>
      <c r="N37" s="8">
        <v>12111386736</v>
      </c>
      <c r="O37" s="8">
        <v>5054241206</v>
      </c>
      <c r="P37" s="8">
        <v>71.618775388921307</v>
      </c>
    </row>
    <row r="38" spans="1:16" x14ac:dyDescent="0.35">
      <c r="A38" s="6">
        <v>45109</v>
      </c>
      <c r="B38" s="8">
        <v>3777.15</v>
      </c>
      <c r="C38" s="8">
        <v>29.950000000000273</v>
      </c>
      <c r="D38" s="8">
        <v>0.79926345004270583</v>
      </c>
      <c r="E38" s="8">
        <v>207255</v>
      </c>
      <c r="F38" s="8">
        <v>38308</v>
      </c>
      <c r="G38" s="8">
        <v>22.674566580051732</v>
      </c>
      <c r="J38" s="6">
        <v>45109</v>
      </c>
      <c r="K38" s="8">
        <v>16430</v>
      </c>
      <c r="L38" s="8">
        <v>418.20000000000073</v>
      </c>
      <c r="M38" s="8">
        <v>2.6118237799622825</v>
      </c>
      <c r="N38" s="8">
        <v>7057145530</v>
      </c>
      <c r="O38" s="8">
        <v>-1529431357</v>
      </c>
      <c r="P38" s="8">
        <v>-17.811886822041334</v>
      </c>
    </row>
    <row r="39" spans="1:16" x14ac:dyDescent="0.35">
      <c r="A39" s="6">
        <v>45102</v>
      </c>
      <c r="B39" s="8">
        <v>3747.2</v>
      </c>
      <c r="C39" s="8">
        <v>-108.95000000000027</v>
      </c>
      <c r="D39" s="8">
        <v>-2.8253568974236032</v>
      </c>
      <c r="E39" s="8">
        <v>168947</v>
      </c>
      <c r="F39" s="8">
        <v>100996</v>
      </c>
      <c r="G39" s="8">
        <v>148.63063089579256</v>
      </c>
      <c r="J39" s="6">
        <v>45102</v>
      </c>
      <c r="K39" s="8">
        <v>16011.8</v>
      </c>
      <c r="L39" s="8">
        <v>-169.65000000000146</v>
      </c>
      <c r="M39" s="8">
        <v>-1.0484227309666405</v>
      </c>
      <c r="N39" s="8">
        <v>8586576887</v>
      </c>
      <c r="O39" s="8">
        <v>-811871231</v>
      </c>
      <c r="P39" s="8">
        <v>-8.6383541283278067</v>
      </c>
    </row>
    <row r="40" spans="1:16" x14ac:dyDescent="0.35">
      <c r="A40" s="6">
        <v>45095</v>
      </c>
      <c r="B40" s="8">
        <v>3856.15</v>
      </c>
      <c r="C40" s="8">
        <v>-93.349999999999909</v>
      </c>
      <c r="D40" s="8">
        <v>-2.3635903278896038</v>
      </c>
      <c r="E40" s="8">
        <v>67951</v>
      </c>
      <c r="F40" s="8">
        <v>-21807</v>
      </c>
      <c r="G40" s="8">
        <v>-24.295327435994562</v>
      </c>
      <c r="J40" s="6">
        <v>45095</v>
      </c>
      <c r="K40" s="8">
        <v>16181.45</v>
      </c>
      <c r="L40" s="8">
        <v>304.05000000000109</v>
      </c>
      <c r="M40" s="8">
        <v>1.9149860808444776</v>
      </c>
      <c r="N40" s="8">
        <v>9398448118</v>
      </c>
      <c r="O40" s="8">
        <v>-1501448634</v>
      </c>
      <c r="P40" s="8">
        <v>-13.77488858988047</v>
      </c>
    </row>
    <row r="41" spans="1:16" x14ac:dyDescent="0.35">
      <c r="A41" s="6">
        <v>45088</v>
      </c>
      <c r="B41" s="8">
        <v>3949.5</v>
      </c>
      <c r="C41" s="8">
        <v>98.800000000000182</v>
      </c>
      <c r="D41" s="8">
        <v>2.5657672630950263</v>
      </c>
      <c r="E41" s="8">
        <v>89758</v>
      </c>
      <c r="F41" s="8">
        <v>-9280</v>
      </c>
      <c r="G41" s="8">
        <v>-9.3701407540539989</v>
      </c>
      <c r="J41" s="6">
        <v>45088</v>
      </c>
      <c r="K41" s="8">
        <v>15877.4</v>
      </c>
      <c r="L41" s="8">
        <v>66.199999999998909</v>
      </c>
      <c r="M41" s="8">
        <v>0.4186905484719623</v>
      </c>
      <c r="N41" s="8">
        <v>10899896752</v>
      </c>
      <c r="O41" s="8">
        <v>447894152</v>
      </c>
      <c r="P41" s="8">
        <v>4.2852472309947567</v>
      </c>
    </row>
    <row r="42" spans="1:16" x14ac:dyDescent="0.35">
      <c r="A42" s="6">
        <v>45081</v>
      </c>
      <c r="B42" s="8">
        <v>3850.7</v>
      </c>
      <c r="C42" s="8">
        <v>45.199999999999818</v>
      </c>
      <c r="D42" s="8">
        <v>1.1877545657600792</v>
      </c>
      <c r="E42" s="8">
        <v>99038</v>
      </c>
      <c r="F42" s="8">
        <v>52631</v>
      </c>
      <c r="G42" s="8">
        <v>113.41176977611136</v>
      </c>
      <c r="J42" s="6">
        <v>45081</v>
      </c>
      <c r="K42" s="8">
        <v>15811.2</v>
      </c>
      <c r="L42" s="8">
        <v>114.45000000000073</v>
      </c>
      <c r="M42" s="8">
        <v>0.72913182665201859</v>
      </c>
      <c r="N42" s="8">
        <v>10452002600</v>
      </c>
      <c r="O42" s="8">
        <v>2158078593</v>
      </c>
      <c r="P42" s="8">
        <v>26.019994771818507</v>
      </c>
    </row>
    <row r="43" spans="1:16" x14ac:dyDescent="0.35">
      <c r="A43" s="6">
        <v>45074</v>
      </c>
      <c r="B43" s="8">
        <v>3805.5</v>
      </c>
      <c r="C43" s="8">
        <v>-19</v>
      </c>
      <c r="D43" s="8">
        <v>-0.49679696692378089</v>
      </c>
      <c r="E43" s="8">
        <v>46407</v>
      </c>
      <c r="F43" s="8">
        <v>-32046</v>
      </c>
      <c r="G43" s="8">
        <v>-40.847386333218616</v>
      </c>
      <c r="J43" s="6">
        <v>45074</v>
      </c>
      <c r="K43" s="8">
        <v>15696.75</v>
      </c>
      <c r="L43" s="8">
        <v>289.20000000000073</v>
      </c>
      <c r="M43" s="8">
        <v>1.877001859477988</v>
      </c>
      <c r="N43" s="8">
        <v>8293924007</v>
      </c>
      <c r="O43" s="8">
        <v>458535632</v>
      </c>
      <c r="P43" s="8">
        <v>5.8521110895157129</v>
      </c>
    </row>
    <row r="44" spans="1:16" x14ac:dyDescent="0.35">
      <c r="A44" s="6">
        <v>45067</v>
      </c>
      <c r="B44" s="8">
        <v>3824.5</v>
      </c>
      <c r="C44" s="8">
        <v>52.300000000000182</v>
      </c>
      <c r="D44" s="8">
        <v>1.3864588303907583</v>
      </c>
      <c r="E44" s="8">
        <v>78453</v>
      </c>
      <c r="F44" s="8">
        <v>49736</v>
      </c>
      <c r="G44" s="8">
        <v>173.19357871643973</v>
      </c>
      <c r="J44" s="6">
        <v>45067</v>
      </c>
      <c r="K44" s="8">
        <v>15407.55</v>
      </c>
      <c r="L44" s="8">
        <v>-69.800000000001091</v>
      </c>
      <c r="M44" s="8">
        <v>-0.45098159568660712</v>
      </c>
      <c r="N44" s="8">
        <v>7835388375</v>
      </c>
      <c r="O44" s="8">
        <v>-316548491</v>
      </c>
      <c r="P44" s="8">
        <v>-3.8831077350495269</v>
      </c>
    </row>
    <row r="45" spans="1:16" x14ac:dyDescent="0.35">
      <c r="A45" s="6">
        <v>45060</v>
      </c>
      <c r="B45" s="8">
        <v>3772.2</v>
      </c>
      <c r="C45" s="8">
        <v>-13.5</v>
      </c>
      <c r="D45" s="8">
        <v>-0.35660511926460103</v>
      </c>
      <c r="E45" s="8">
        <v>28717</v>
      </c>
      <c r="F45" s="8">
        <v>-2211</v>
      </c>
      <c r="G45" s="8">
        <v>-7.1488618727366786</v>
      </c>
      <c r="J45" s="6">
        <v>45060</v>
      </c>
      <c r="K45" s="8">
        <v>15477.35</v>
      </c>
      <c r="L45" s="8">
        <v>198.75</v>
      </c>
      <c r="M45" s="8">
        <v>1.3008390821148534</v>
      </c>
      <c r="N45" s="8">
        <v>8151936866</v>
      </c>
      <c r="O45" s="8">
        <v>-537501085</v>
      </c>
      <c r="P45" s="8">
        <v>-6.185682986989316</v>
      </c>
    </row>
    <row r="46" spans="1:16" x14ac:dyDescent="0.35">
      <c r="A46" s="6">
        <v>45053</v>
      </c>
      <c r="B46" s="8">
        <v>3785.7</v>
      </c>
      <c r="C46" s="8">
        <v>34.049999999999727</v>
      </c>
      <c r="D46" s="8">
        <v>0.90760065571147963</v>
      </c>
      <c r="E46" s="8">
        <v>30928</v>
      </c>
      <c r="F46" s="8">
        <v>6764</v>
      </c>
      <c r="G46" s="8">
        <v>27.992054295646415</v>
      </c>
      <c r="J46" s="6">
        <v>45053</v>
      </c>
      <c r="K46" s="8">
        <v>15278.6</v>
      </c>
      <c r="L46" s="8">
        <v>59.050000000001091</v>
      </c>
      <c r="M46" s="8">
        <v>0.38798781829949697</v>
      </c>
      <c r="N46" s="8">
        <v>8689437951</v>
      </c>
      <c r="O46" s="8">
        <v>-1156317397</v>
      </c>
      <c r="P46" s="8">
        <v>-11.744323885062679</v>
      </c>
    </row>
    <row r="47" spans="1:16" x14ac:dyDescent="0.35">
      <c r="A47" s="6">
        <v>45046</v>
      </c>
      <c r="B47" s="8">
        <v>3751.65</v>
      </c>
      <c r="C47" s="8">
        <v>-46.400000000000091</v>
      </c>
      <c r="D47" s="8">
        <v>-1.2216795460828607</v>
      </c>
      <c r="E47" s="8">
        <v>24164</v>
      </c>
      <c r="F47" s="8">
        <v>-30611</v>
      </c>
      <c r="G47" s="8">
        <v>-55.884984025559106</v>
      </c>
      <c r="J47" s="6">
        <v>45046</v>
      </c>
      <c r="K47" s="8">
        <v>15219.55</v>
      </c>
      <c r="L47" s="8">
        <v>372.44999999999891</v>
      </c>
      <c r="M47" s="8">
        <v>2.5085706973078845</v>
      </c>
      <c r="N47" s="8">
        <v>9845755348</v>
      </c>
      <c r="O47" s="8">
        <v>2835862590</v>
      </c>
      <c r="P47" s="8">
        <v>40.455149428121963</v>
      </c>
    </row>
    <row r="48" spans="1:16" x14ac:dyDescent="0.35">
      <c r="A48" s="6">
        <v>45039</v>
      </c>
      <c r="B48" s="8">
        <v>3798.05</v>
      </c>
      <c r="C48" s="8">
        <v>47.950000000000273</v>
      </c>
      <c r="D48" s="8">
        <v>1.278632569798146</v>
      </c>
      <c r="E48" s="8">
        <v>54775</v>
      </c>
      <c r="F48" s="8">
        <v>-61895</v>
      </c>
      <c r="G48" s="8">
        <v>-53.051341390245994</v>
      </c>
      <c r="J48" s="6">
        <v>45039</v>
      </c>
      <c r="K48" s="8">
        <v>14847.1</v>
      </c>
      <c r="L48" s="8">
        <v>-107.14999999999964</v>
      </c>
      <c r="M48" s="8">
        <v>-0.71651871541534773</v>
      </c>
      <c r="N48" s="8">
        <v>7009892758</v>
      </c>
      <c r="O48" s="8">
        <v>2066234378</v>
      </c>
      <c r="P48" s="8">
        <v>41.795654537116299</v>
      </c>
    </row>
    <row r="49" spans="1:16" x14ac:dyDescent="0.35">
      <c r="A49" s="6">
        <v>45032</v>
      </c>
      <c r="B49" s="8">
        <v>3750.1</v>
      </c>
      <c r="C49" s="8">
        <v>98.650000000000091</v>
      </c>
      <c r="D49" s="8">
        <v>2.7016664612688137</v>
      </c>
      <c r="E49" s="8">
        <v>116670</v>
      </c>
      <c r="F49" s="8">
        <v>86357</v>
      </c>
      <c r="G49" s="8">
        <v>284.88437304126944</v>
      </c>
      <c r="J49" s="6">
        <v>45032</v>
      </c>
      <c r="K49" s="8">
        <v>14954.25</v>
      </c>
      <c r="L49" s="8">
        <v>195.04999999999927</v>
      </c>
      <c r="M49" s="8">
        <v>1.3215485934196924</v>
      </c>
      <c r="N49" s="8">
        <v>4943658380</v>
      </c>
      <c r="O49" s="8">
        <v>914241781</v>
      </c>
      <c r="P49" s="8">
        <v>22.689184861820738</v>
      </c>
    </row>
    <row r="50" spans="1:16" x14ac:dyDescent="0.35">
      <c r="A50" s="6">
        <v>45025</v>
      </c>
      <c r="B50" s="8">
        <v>3651.45</v>
      </c>
      <c r="C50" s="8">
        <v>184.29999999999973</v>
      </c>
      <c r="D50" s="8">
        <v>5.3156050358363416</v>
      </c>
      <c r="E50" s="8">
        <v>30313</v>
      </c>
      <c r="F50" s="8">
        <v>-31749</v>
      </c>
      <c r="G50" s="8">
        <v>-51.156907608520513</v>
      </c>
      <c r="J50" s="6">
        <v>45025</v>
      </c>
      <c r="K50" s="8">
        <v>14759.2</v>
      </c>
      <c r="L50" s="8">
        <v>201.35000000000036</v>
      </c>
      <c r="M50" s="8">
        <v>1.3831025872639184</v>
      </c>
      <c r="N50" s="8">
        <v>4029416599</v>
      </c>
      <c r="O50" s="8">
        <v>-2613651356</v>
      </c>
      <c r="P50" s="8">
        <v>-39.344040640631981</v>
      </c>
    </row>
    <row r="51" spans="1:16" x14ac:dyDescent="0.35">
      <c r="A51" s="6">
        <v>45018</v>
      </c>
      <c r="B51" s="8">
        <v>3467.15</v>
      </c>
      <c r="C51" s="8">
        <v>-56.049999999999727</v>
      </c>
      <c r="D51" s="8">
        <v>-1.5908832879200649</v>
      </c>
      <c r="E51" s="8">
        <v>62062</v>
      </c>
      <c r="F51" s="8">
        <v>19845</v>
      </c>
      <c r="G51" s="8">
        <v>47.007129829215721</v>
      </c>
      <c r="J51" s="6">
        <v>45018</v>
      </c>
      <c r="K51" s="8">
        <v>14557.85</v>
      </c>
      <c r="L51" s="8">
        <v>278.85000000000036</v>
      </c>
      <c r="M51" s="8">
        <v>1.9528678478885102</v>
      </c>
      <c r="N51" s="8">
        <v>6643067955</v>
      </c>
      <c r="O51" s="8">
        <v>-155780299</v>
      </c>
      <c r="P51" s="8">
        <v>-2.291274833327086</v>
      </c>
    </row>
    <row r="52" spans="1:16" x14ac:dyDescent="0.35">
      <c r="A52" s="6">
        <v>45011</v>
      </c>
      <c r="B52" s="8">
        <v>3523.2</v>
      </c>
      <c r="C52" s="8">
        <v>-36.700000000000273</v>
      </c>
      <c r="D52" s="8">
        <v>-1.0309278350515541</v>
      </c>
      <c r="E52" s="8">
        <v>42217</v>
      </c>
      <c r="F52" s="8">
        <v>-14152</v>
      </c>
      <c r="G52" s="8">
        <v>-25.105997977611807</v>
      </c>
      <c r="J52" s="6">
        <v>45011</v>
      </c>
      <c r="K52" s="8">
        <v>14279</v>
      </c>
      <c r="L52" s="8">
        <v>-141.85000000000036</v>
      </c>
      <c r="M52" s="8">
        <v>-0.98364520815347478</v>
      </c>
      <c r="N52" s="8">
        <v>6798848254</v>
      </c>
      <c r="O52" s="8">
        <v>-2451866738</v>
      </c>
      <c r="P52" s="8">
        <v>-26.504618725367386</v>
      </c>
    </row>
    <row r="53" spans="1:16" x14ac:dyDescent="0.35">
      <c r="A53" s="6">
        <v>45004</v>
      </c>
      <c r="B53" s="8">
        <v>3559.9</v>
      </c>
      <c r="C53" s="8">
        <v>-154.44999999999982</v>
      </c>
      <c r="D53" s="8">
        <v>-4.1581972619704608</v>
      </c>
      <c r="E53" s="8">
        <v>56369</v>
      </c>
      <c r="F53" s="8">
        <v>16123</v>
      </c>
      <c r="G53" s="8">
        <v>40.061124086865775</v>
      </c>
      <c r="J53" s="6">
        <v>45004</v>
      </c>
      <c r="K53" s="8">
        <v>14420.85</v>
      </c>
      <c r="L53" s="8">
        <v>-259</v>
      </c>
      <c r="M53" s="8">
        <v>-1.76432320493738</v>
      </c>
      <c r="N53" s="8">
        <v>9250714992</v>
      </c>
      <c r="O53" s="8">
        <v>3656834602</v>
      </c>
      <c r="P53" s="8">
        <v>65.372055658129653</v>
      </c>
    </row>
    <row r="54" spans="1:16" x14ac:dyDescent="0.35">
      <c r="A54" s="6">
        <v>44997</v>
      </c>
      <c r="B54" s="8">
        <v>3714.35</v>
      </c>
      <c r="C54" s="8">
        <v>-68.300000000000182</v>
      </c>
      <c r="D54" s="8">
        <v>-1.8056124674500729</v>
      </c>
      <c r="E54" s="8">
        <v>40246</v>
      </c>
      <c r="F54" s="8">
        <v>3567</v>
      </c>
      <c r="G54" s="8">
        <v>9.7249107118514679</v>
      </c>
      <c r="J54" s="6">
        <v>44997</v>
      </c>
      <c r="K54" s="8">
        <v>14679.85</v>
      </c>
      <c r="L54" s="8">
        <v>-94.899999999999636</v>
      </c>
      <c r="M54" s="8">
        <v>-0.64231205265740288</v>
      </c>
      <c r="N54" s="8">
        <v>5593880390</v>
      </c>
      <c r="O54" s="8">
        <v>-2805490885</v>
      </c>
      <c r="P54" s="8">
        <v>-33.401201032157019</v>
      </c>
    </row>
    <row r="55" spans="1:16" x14ac:dyDescent="0.35">
      <c r="A55" s="6">
        <v>44990</v>
      </c>
      <c r="B55" s="8">
        <v>3782.65</v>
      </c>
      <c r="C55" s="8">
        <v>-25.049999999999727</v>
      </c>
      <c r="D55" s="8">
        <v>-0.65787745883340931</v>
      </c>
      <c r="E55" s="8">
        <v>36679</v>
      </c>
      <c r="F55" s="8">
        <v>9512</v>
      </c>
      <c r="G55" s="8">
        <v>35.013067324327309</v>
      </c>
      <c r="J55" s="6">
        <v>44990</v>
      </c>
      <c r="K55" s="8">
        <v>14774.75</v>
      </c>
      <c r="L55" s="8">
        <v>144.29999999999927</v>
      </c>
      <c r="M55" s="8">
        <v>0.98629912272007536</v>
      </c>
      <c r="N55" s="8">
        <v>8399371275</v>
      </c>
      <c r="O55" s="8">
        <v>923125464</v>
      </c>
      <c r="P55" s="8">
        <v>12.347446664230608</v>
      </c>
    </row>
    <row r="56" spans="1:16" x14ac:dyDescent="0.35">
      <c r="A56" s="6">
        <v>44983</v>
      </c>
      <c r="B56" s="8">
        <v>3807.7</v>
      </c>
      <c r="C56" s="8">
        <v>-52.700000000000273</v>
      </c>
      <c r="D56" s="8">
        <v>-1.3651435084447279</v>
      </c>
      <c r="E56" s="8">
        <v>27167</v>
      </c>
      <c r="F56" s="8">
        <v>-7190</v>
      </c>
      <c r="G56" s="8">
        <v>-20.927321943126582</v>
      </c>
      <c r="J56" s="6">
        <v>44983</v>
      </c>
      <c r="K56" s="8">
        <v>14630.45</v>
      </c>
      <c r="L56" s="8">
        <v>-373.5</v>
      </c>
      <c r="M56" s="8">
        <v>-2.4893444726222094</v>
      </c>
      <c r="N56" s="8">
        <v>7476245811</v>
      </c>
      <c r="O56" s="8">
        <v>1061824337</v>
      </c>
      <c r="P56" s="8">
        <v>16.553703889025112</v>
      </c>
    </row>
    <row r="57" spans="1:16" x14ac:dyDescent="0.35">
      <c r="A57" s="6">
        <v>44976</v>
      </c>
      <c r="B57" s="8">
        <v>3860.4</v>
      </c>
      <c r="C57" s="8">
        <v>-112</v>
      </c>
      <c r="D57" s="8">
        <v>-2.8194542342160909</v>
      </c>
      <c r="E57" s="8">
        <v>34357</v>
      </c>
      <c r="F57" s="8">
        <v>-12458</v>
      </c>
      <c r="G57" s="8">
        <v>-26.61112891167361</v>
      </c>
      <c r="J57" s="6">
        <v>44976</v>
      </c>
      <c r="K57" s="8">
        <v>15003.95</v>
      </c>
      <c r="L57" s="8">
        <v>-11.899999999999636</v>
      </c>
      <c r="M57" s="8">
        <v>-7.9249592930134727E-2</v>
      </c>
      <c r="N57" s="8">
        <v>6414421474</v>
      </c>
      <c r="O57" s="8">
        <v>-2310780743</v>
      </c>
      <c r="P57" s="8">
        <v>-26.483979230850643</v>
      </c>
    </row>
    <row r="58" spans="1:16" x14ac:dyDescent="0.35">
      <c r="A58" s="6">
        <v>44969</v>
      </c>
      <c r="B58" s="8">
        <v>3972.4</v>
      </c>
      <c r="C58" s="8">
        <v>99.75</v>
      </c>
      <c r="D58" s="8">
        <v>2.5757556195370093</v>
      </c>
      <c r="E58" s="8">
        <v>46815</v>
      </c>
      <c r="F58" s="8">
        <v>-40491</v>
      </c>
      <c r="G58" s="8">
        <v>-46.378255789980074</v>
      </c>
      <c r="J58" s="6">
        <v>44969</v>
      </c>
      <c r="K58" s="8">
        <v>15015.85</v>
      </c>
      <c r="L58" s="8">
        <v>53.5</v>
      </c>
      <c r="M58" s="8">
        <v>0.35756415268991837</v>
      </c>
      <c r="N58" s="8">
        <v>8725202217</v>
      </c>
      <c r="O58" s="8">
        <v>-2304961761</v>
      </c>
      <c r="P58" s="8">
        <v>-20.896894784133011</v>
      </c>
    </row>
    <row r="59" spans="1:16" x14ac:dyDescent="0.35">
      <c r="A59" s="6">
        <v>44962</v>
      </c>
      <c r="B59" s="8">
        <v>3872.65</v>
      </c>
      <c r="C59" s="8">
        <v>-128.90000000000009</v>
      </c>
      <c r="D59" s="8">
        <v>-3.2212517649410874</v>
      </c>
      <c r="E59" s="8">
        <v>87306</v>
      </c>
      <c r="F59" s="8">
        <v>54740</v>
      </c>
      <c r="G59" s="8">
        <v>168.08941841184057</v>
      </c>
      <c r="J59" s="6">
        <v>44962</v>
      </c>
      <c r="K59" s="8">
        <v>14962.35</v>
      </c>
      <c r="L59" s="8">
        <v>87.600000000000364</v>
      </c>
      <c r="M59" s="8">
        <v>0.58891746079766294</v>
      </c>
      <c r="N59" s="8">
        <v>11030163978</v>
      </c>
      <c r="O59" s="8">
        <v>3740212106</v>
      </c>
      <c r="P59" s="8">
        <v>51.30640327497624</v>
      </c>
    </row>
    <row r="60" spans="1:16" x14ac:dyDescent="0.35">
      <c r="A60" s="6">
        <v>44955</v>
      </c>
      <c r="B60" s="8">
        <v>4001.55</v>
      </c>
      <c r="C60" s="8">
        <v>-136.5</v>
      </c>
      <c r="D60" s="8">
        <v>-3.2986551636640447</v>
      </c>
      <c r="E60" s="8">
        <v>32566</v>
      </c>
      <c r="F60" s="8">
        <v>169</v>
      </c>
      <c r="G60" s="8">
        <v>0.52165323949748432</v>
      </c>
      <c r="J60" s="6">
        <v>44955</v>
      </c>
      <c r="K60" s="8">
        <v>14874.75</v>
      </c>
      <c r="L60" s="8">
        <v>-473.14999999999964</v>
      </c>
      <c r="M60" s="8">
        <v>-3.0828321789951696</v>
      </c>
      <c r="N60" s="8">
        <v>7289951872</v>
      </c>
      <c r="O60" s="8">
        <v>-546025068</v>
      </c>
      <c r="P60" s="8">
        <v>-6.9681811493437094</v>
      </c>
    </row>
    <row r="61" spans="1:16" x14ac:dyDescent="0.35">
      <c r="A61" s="6">
        <v>44948</v>
      </c>
      <c r="B61" s="8">
        <v>4138.05</v>
      </c>
      <c r="C61" s="8">
        <v>-76.050000000000182</v>
      </c>
      <c r="D61" s="8">
        <v>-1.8046557983911198</v>
      </c>
      <c r="E61" s="8">
        <v>32397</v>
      </c>
      <c r="F61" s="8">
        <v>6781</v>
      </c>
      <c r="G61" s="8">
        <v>26.471736414740786</v>
      </c>
      <c r="J61" s="6">
        <v>44948</v>
      </c>
      <c r="K61" s="8">
        <v>15347.9</v>
      </c>
      <c r="L61" s="8">
        <v>1.7999999999992724</v>
      </c>
      <c r="M61" s="8">
        <v>1.1729364463930721E-2</v>
      </c>
      <c r="N61" s="8">
        <v>7835976940</v>
      </c>
      <c r="O61" s="8">
        <v>-188268012</v>
      </c>
      <c r="P61" s="8">
        <v>-2.3462395917147969</v>
      </c>
    </row>
    <row r="62" spans="1:16" x14ac:dyDescent="0.35">
      <c r="A62" s="6">
        <v>44941</v>
      </c>
      <c r="B62" s="8">
        <v>4214.1000000000004</v>
      </c>
      <c r="C62" s="8">
        <v>-117.59999999999945</v>
      </c>
      <c r="D62" s="8">
        <v>-2.7148694507929787</v>
      </c>
      <c r="E62" s="8">
        <v>25616</v>
      </c>
      <c r="F62" s="8">
        <v>-7580</v>
      </c>
      <c r="G62" s="8">
        <v>-22.834076394746354</v>
      </c>
      <c r="J62" s="6">
        <v>44941</v>
      </c>
      <c r="K62" s="8">
        <v>15346.1</v>
      </c>
      <c r="L62" s="8">
        <v>74.100000000000364</v>
      </c>
      <c r="M62" s="8">
        <v>0.48520167627030097</v>
      </c>
      <c r="N62" s="8">
        <v>8024244952</v>
      </c>
      <c r="O62" s="8">
        <v>-1780389316</v>
      </c>
      <c r="P62" s="8">
        <v>-18.158650973966139</v>
      </c>
    </row>
    <row r="63" spans="1:16" x14ac:dyDescent="0.35">
      <c r="A63" s="6">
        <v>44934</v>
      </c>
      <c r="B63" s="8">
        <v>4331.7</v>
      </c>
      <c r="C63" s="8">
        <v>-100</v>
      </c>
      <c r="D63" s="8">
        <v>-2.2564704289550286</v>
      </c>
      <c r="E63" s="8">
        <v>33196</v>
      </c>
      <c r="F63" s="8">
        <v>-19902</v>
      </c>
      <c r="G63" s="8">
        <v>-37.481637726468037</v>
      </c>
      <c r="J63" s="6">
        <v>44934</v>
      </c>
      <c r="K63" s="8">
        <v>15272</v>
      </c>
      <c r="L63" s="8">
        <v>-176.85000000000036</v>
      </c>
      <c r="M63" s="8">
        <v>-1.1447454017612986</v>
      </c>
      <c r="N63" s="8">
        <v>9804634268</v>
      </c>
      <c r="O63" s="8">
        <v>-2328852315</v>
      </c>
      <c r="P63" s="8">
        <v>-19.193595336915863</v>
      </c>
    </row>
    <row r="64" spans="1:16" x14ac:dyDescent="0.35">
      <c r="A64" s="6">
        <v>44927</v>
      </c>
      <c r="B64" s="8">
        <v>4431.7</v>
      </c>
      <c r="C64" s="8">
        <v>88.649999999999636</v>
      </c>
      <c r="D64" s="8">
        <v>2.0411922496862718</v>
      </c>
      <c r="E64" s="8">
        <v>53098</v>
      </c>
      <c r="F64" s="8">
        <v>-6785</v>
      </c>
      <c r="G64" s="8">
        <v>-11.330427667284539</v>
      </c>
      <c r="J64" s="6">
        <v>44927</v>
      </c>
      <c r="K64" s="8">
        <v>15448.85</v>
      </c>
      <c r="L64" s="8">
        <v>402.85000000000036</v>
      </c>
      <c r="M64" s="8">
        <v>2.6774558022065689</v>
      </c>
      <c r="N64" s="8">
        <v>12133486583</v>
      </c>
      <c r="O64" s="8">
        <v>-1364833191</v>
      </c>
      <c r="P64" s="8">
        <v>-10.111133932601707</v>
      </c>
    </row>
    <row r="65" spans="1:16" x14ac:dyDescent="0.35">
      <c r="A65" s="6">
        <v>44920</v>
      </c>
      <c r="B65" s="8">
        <v>4343.05</v>
      </c>
      <c r="C65" s="8">
        <v>-96.399999999999636</v>
      </c>
      <c r="D65" s="8">
        <v>-2.1714401558751568</v>
      </c>
      <c r="E65" s="8">
        <v>59883</v>
      </c>
      <c r="F65" s="8">
        <v>-49047</v>
      </c>
      <c r="G65" s="8">
        <v>-45.026163591297163</v>
      </c>
      <c r="J65" s="6">
        <v>44920</v>
      </c>
      <c r="K65" s="8">
        <v>15046</v>
      </c>
      <c r="L65" s="8">
        <v>-590.35000000000036</v>
      </c>
      <c r="M65" s="8">
        <v>-3.7754974786315243</v>
      </c>
      <c r="N65" s="8">
        <v>13498319774</v>
      </c>
      <c r="O65" s="8">
        <v>-3419477627</v>
      </c>
      <c r="P65" s="8">
        <v>-20.212309829398222</v>
      </c>
    </row>
    <row r="66" spans="1:16" x14ac:dyDescent="0.35">
      <c r="A66" s="6">
        <v>44913</v>
      </c>
      <c r="B66" s="8">
        <v>4439.45</v>
      </c>
      <c r="C66" s="8">
        <v>36.25</v>
      </c>
      <c r="D66" s="8">
        <v>0.82326489825581395</v>
      </c>
      <c r="E66" s="8">
        <v>108930</v>
      </c>
      <c r="F66" s="8">
        <v>4153</v>
      </c>
      <c r="G66" s="8">
        <v>3.9636561459098849</v>
      </c>
      <c r="J66" s="6">
        <v>44913</v>
      </c>
      <c r="K66" s="8">
        <v>15636.35</v>
      </c>
      <c r="L66" s="8">
        <v>-176.39999999999964</v>
      </c>
      <c r="M66" s="8">
        <v>-1.1155554852887679</v>
      </c>
      <c r="N66" s="8">
        <v>16917797401</v>
      </c>
      <c r="O66" s="8">
        <v>4584543636</v>
      </c>
      <c r="P66" s="8">
        <v>37.172215243071342</v>
      </c>
    </row>
    <row r="67" spans="1:16" x14ac:dyDescent="0.35">
      <c r="A67" s="6">
        <v>44906</v>
      </c>
      <c r="B67" s="8">
        <v>4403.2</v>
      </c>
      <c r="C67" s="8">
        <v>-185.19999999999982</v>
      </c>
      <c r="D67" s="8">
        <v>-4.0362653648330538</v>
      </c>
      <c r="E67" s="8">
        <v>104777</v>
      </c>
      <c r="F67" s="8">
        <v>-7401</v>
      </c>
      <c r="G67" s="8">
        <v>-6.5975503218099805</v>
      </c>
      <c r="J67" s="6">
        <v>44906</v>
      </c>
      <c r="K67" s="8">
        <v>15812.75</v>
      </c>
      <c r="L67" s="8">
        <v>-150.75</v>
      </c>
      <c r="M67" s="8">
        <v>-0.94434177968490618</v>
      </c>
      <c r="N67" s="8">
        <v>12333253765</v>
      </c>
      <c r="O67" s="8">
        <v>373567241</v>
      </c>
      <c r="P67" s="8">
        <v>3.1235537842095367</v>
      </c>
    </row>
    <row r="68" spans="1:16" x14ac:dyDescent="0.35">
      <c r="A68" s="6">
        <v>44899</v>
      </c>
      <c r="B68" s="8">
        <v>4588.3999999999996</v>
      </c>
      <c r="C68" s="8">
        <v>125.84999999999945</v>
      </c>
      <c r="D68" s="8">
        <v>2.8201364690591579</v>
      </c>
      <c r="E68" s="8">
        <v>112178</v>
      </c>
      <c r="F68" s="8">
        <v>72238</v>
      </c>
      <c r="G68" s="8">
        <v>180.86629944917377</v>
      </c>
      <c r="J68" s="6">
        <v>44899</v>
      </c>
      <c r="K68" s="8">
        <v>15963.5</v>
      </c>
      <c r="L68" s="8">
        <v>236.25</v>
      </c>
      <c r="M68" s="8">
        <v>1.5021698008234117</v>
      </c>
      <c r="N68" s="8">
        <v>11959686524</v>
      </c>
      <c r="O68" s="8">
        <v>1687705079</v>
      </c>
      <c r="P68" s="8">
        <v>16.430180370132085</v>
      </c>
    </row>
    <row r="69" spans="1:16" x14ac:dyDescent="0.35">
      <c r="A69" s="6">
        <v>44892</v>
      </c>
      <c r="B69" s="8">
        <v>4462.55</v>
      </c>
      <c r="C69" s="8">
        <v>-22.649999999999636</v>
      </c>
      <c r="D69" s="8">
        <v>-0.5049942031570418</v>
      </c>
      <c r="E69" s="8">
        <v>39940</v>
      </c>
      <c r="F69" s="8">
        <v>-104743</v>
      </c>
      <c r="G69" s="8">
        <v>-72.394821782794111</v>
      </c>
      <c r="J69" s="6">
        <v>44892</v>
      </c>
      <c r="K69" s="8">
        <v>15727.25</v>
      </c>
      <c r="L69" s="8">
        <v>176.39999999999964</v>
      </c>
      <c r="M69" s="8">
        <v>1.1343431387994845</v>
      </c>
      <c r="N69" s="8">
        <v>10271981445</v>
      </c>
      <c r="O69" s="8">
        <v>1417844091</v>
      </c>
      <c r="P69" s="8">
        <v>16.013350982853975</v>
      </c>
    </row>
    <row r="70" spans="1:16" x14ac:dyDescent="0.35">
      <c r="A70" s="6">
        <v>44885</v>
      </c>
      <c r="B70" s="8">
        <v>4485.2</v>
      </c>
      <c r="C70" s="8">
        <v>173.30000000000018</v>
      </c>
      <c r="D70" s="8">
        <v>4.0191099051462276</v>
      </c>
      <c r="E70" s="8">
        <v>144683</v>
      </c>
      <c r="F70" s="8">
        <v>57477</v>
      </c>
      <c r="G70" s="8">
        <v>65.909455771391876</v>
      </c>
      <c r="J70" s="6">
        <v>44885</v>
      </c>
      <c r="K70" s="8">
        <v>15550.85</v>
      </c>
      <c r="L70" s="8">
        <v>-98.25</v>
      </c>
      <c r="M70" s="8">
        <v>-0.62783163249004736</v>
      </c>
      <c r="N70" s="8">
        <v>8854137354</v>
      </c>
      <c r="O70" s="8">
        <v>471229140</v>
      </c>
      <c r="P70" s="8">
        <v>5.6213085956615485</v>
      </c>
    </row>
    <row r="71" spans="1:16" x14ac:dyDescent="0.35">
      <c r="A71" s="6">
        <v>44878</v>
      </c>
      <c r="B71" s="8">
        <v>4311.8999999999996</v>
      </c>
      <c r="C71" s="8">
        <v>-191.15000000000055</v>
      </c>
      <c r="D71" s="8">
        <v>-4.2449006784290768</v>
      </c>
      <c r="E71" s="8">
        <v>87206</v>
      </c>
      <c r="F71" s="8">
        <v>-7325</v>
      </c>
      <c r="G71" s="8">
        <v>-7.7487808232220114</v>
      </c>
      <c r="J71" s="6">
        <v>44878</v>
      </c>
      <c r="K71" s="8">
        <v>15649.1</v>
      </c>
      <c r="L71" s="8">
        <v>118.25</v>
      </c>
      <c r="M71" s="8">
        <v>0.76138781843878467</v>
      </c>
      <c r="N71" s="8">
        <v>8382908214</v>
      </c>
      <c r="O71" s="8">
        <v>500752115</v>
      </c>
      <c r="P71" s="8">
        <v>6.3529839895397382</v>
      </c>
    </row>
    <row r="72" spans="1:16" x14ac:dyDescent="0.35">
      <c r="A72" s="6">
        <v>44871</v>
      </c>
      <c r="B72" s="8">
        <v>4503.05</v>
      </c>
      <c r="C72" s="8">
        <v>143.35000000000036</v>
      </c>
      <c r="D72" s="8">
        <v>3.2880702800651505</v>
      </c>
      <c r="E72" s="8">
        <v>94531</v>
      </c>
      <c r="F72" s="8">
        <v>75318</v>
      </c>
      <c r="G72" s="8">
        <v>392.01582262010095</v>
      </c>
      <c r="J72" s="6">
        <v>44871</v>
      </c>
      <c r="K72" s="8">
        <v>15530.85</v>
      </c>
      <c r="L72" s="8">
        <v>289.25</v>
      </c>
      <c r="M72" s="8">
        <v>1.8977666386731051</v>
      </c>
      <c r="N72" s="8">
        <v>7882156099</v>
      </c>
      <c r="O72" s="8">
        <v>2488955932</v>
      </c>
      <c r="P72" s="8">
        <v>46.149889767293708</v>
      </c>
    </row>
    <row r="73" spans="1:16" x14ac:dyDescent="0.35">
      <c r="A73" s="6">
        <v>44864</v>
      </c>
      <c r="B73" s="8">
        <v>4359.7</v>
      </c>
      <c r="C73" s="8">
        <v>19.649999999999636</v>
      </c>
      <c r="D73" s="8">
        <v>0.45275976083224007</v>
      </c>
      <c r="E73" s="8">
        <v>19213</v>
      </c>
      <c r="F73" s="8">
        <v>-38955</v>
      </c>
      <c r="G73" s="8">
        <v>-66.969811580250308</v>
      </c>
      <c r="J73" s="6">
        <v>44864</v>
      </c>
      <c r="K73" s="8">
        <v>15241.6</v>
      </c>
      <c r="L73" s="8">
        <v>160.5</v>
      </c>
      <c r="M73" s="8">
        <v>1.0642459767523589</v>
      </c>
      <c r="N73" s="8">
        <v>5393200167</v>
      </c>
      <c r="O73" s="8">
        <v>-3239786004</v>
      </c>
      <c r="P73" s="8">
        <v>-37.527987880753436</v>
      </c>
    </row>
    <row r="74" spans="1:16" x14ac:dyDescent="0.35">
      <c r="A74" s="6">
        <v>44857</v>
      </c>
      <c r="B74" s="8">
        <v>4340.05</v>
      </c>
      <c r="C74" s="8">
        <v>-30.149999999999636</v>
      </c>
      <c r="D74" s="8">
        <v>-0.68989977575396177</v>
      </c>
      <c r="E74" s="8">
        <v>58168</v>
      </c>
      <c r="F74" s="8">
        <v>-119217</v>
      </c>
      <c r="G74" s="8">
        <v>-67.208050286100857</v>
      </c>
      <c r="J74" s="6">
        <v>44857</v>
      </c>
      <c r="K74" s="8">
        <v>15081.1</v>
      </c>
      <c r="L74" s="8">
        <v>266</v>
      </c>
      <c r="M74" s="8">
        <v>1.795465437290332</v>
      </c>
      <c r="N74" s="8">
        <v>8632986171</v>
      </c>
      <c r="O74" s="8">
        <v>1708612453</v>
      </c>
      <c r="P74" s="8">
        <v>24.675335598343565</v>
      </c>
    </row>
    <row r="75" spans="1:16" x14ac:dyDescent="0.35">
      <c r="A75" s="6">
        <v>44850</v>
      </c>
      <c r="B75" s="8">
        <v>4370.2</v>
      </c>
      <c r="C75" s="8">
        <v>-68.699999999999818</v>
      </c>
      <c r="D75" s="8">
        <v>-1.5476807317128078</v>
      </c>
      <c r="E75" s="8">
        <v>177385</v>
      </c>
      <c r="F75" s="8">
        <v>-123204</v>
      </c>
      <c r="G75" s="8">
        <v>-40.98752782037932</v>
      </c>
      <c r="J75" s="6">
        <v>44850</v>
      </c>
      <c r="K75" s="8">
        <v>14815.1</v>
      </c>
      <c r="L75" s="8">
        <v>-221.60000000000036</v>
      </c>
      <c r="M75" s="8">
        <v>-1.4737276131066015</v>
      </c>
      <c r="N75" s="8">
        <v>6924373718</v>
      </c>
      <c r="O75" s="8">
        <v>536861146</v>
      </c>
      <c r="P75" s="8">
        <v>8.4048546276583362</v>
      </c>
    </row>
    <row r="76" spans="1:16" x14ac:dyDescent="0.35">
      <c r="A76" s="6">
        <v>44843</v>
      </c>
      <c r="B76" s="8">
        <v>4438.8999999999996</v>
      </c>
      <c r="C76" s="8">
        <v>173.54999999999927</v>
      </c>
      <c r="D76" s="8">
        <v>4.0688337416624485</v>
      </c>
      <c r="E76" s="8">
        <v>300589</v>
      </c>
      <c r="F76" s="8">
        <v>155222</v>
      </c>
      <c r="G76" s="8">
        <v>106.77939284706983</v>
      </c>
      <c r="J76" s="6">
        <v>44843</v>
      </c>
      <c r="K76" s="8">
        <v>15036.7</v>
      </c>
      <c r="L76" s="8">
        <v>207.35000000000036</v>
      </c>
      <c r="M76" s="8">
        <v>1.3982406511411516</v>
      </c>
      <c r="N76" s="8">
        <v>6387512572</v>
      </c>
      <c r="O76" s="8">
        <v>-2537378037</v>
      </c>
      <c r="P76" s="8">
        <v>-28.430354478981155</v>
      </c>
    </row>
    <row r="77" spans="1:16" x14ac:dyDescent="0.35">
      <c r="A77" s="6">
        <v>44836</v>
      </c>
      <c r="B77" s="8">
        <v>4265.3500000000004</v>
      </c>
      <c r="C77" s="8">
        <v>53.350000000000364</v>
      </c>
      <c r="D77" s="8">
        <v>1.2666191832858587</v>
      </c>
      <c r="E77" s="8">
        <v>145367</v>
      </c>
      <c r="F77" s="8">
        <v>93297</v>
      </c>
      <c r="G77" s="8">
        <v>179.1761090839255</v>
      </c>
      <c r="J77" s="6">
        <v>44836</v>
      </c>
      <c r="K77" s="8">
        <v>14829.35</v>
      </c>
      <c r="L77" s="8">
        <v>-228.29999999999927</v>
      </c>
      <c r="M77" s="8">
        <v>-1.5161728423757976</v>
      </c>
      <c r="N77" s="8">
        <v>8924890609</v>
      </c>
      <c r="O77" s="8">
        <v>592299561</v>
      </c>
      <c r="P77" s="8">
        <v>7.1082278919972266</v>
      </c>
    </row>
    <row r="78" spans="1:16" x14ac:dyDescent="0.35">
      <c r="A78" s="6">
        <v>44829</v>
      </c>
      <c r="B78" s="8">
        <v>4212</v>
      </c>
      <c r="C78" s="8">
        <v>43.149999999999636</v>
      </c>
      <c r="D78" s="8">
        <v>1.0350576298019749</v>
      </c>
      <c r="E78" s="8">
        <v>52070</v>
      </c>
      <c r="F78" s="8">
        <v>-44569</v>
      </c>
      <c r="G78" s="8">
        <v>-46.119061662475815</v>
      </c>
      <c r="J78" s="6">
        <v>44829</v>
      </c>
      <c r="K78" s="8">
        <v>15057.65</v>
      </c>
      <c r="L78" s="8">
        <v>-186.30000000000109</v>
      </c>
      <c r="M78" s="8">
        <v>-1.2221241869725437</v>
      </c>
      <c r="N78" s="8">
        <v>8332591048</v>
      </c>
      <c r="O78" s="8">
        <v>-1282874755</v>
      </c>
      <c r="P78" s="8">
        <v>-13.341784800479935</v>
      </c>
    </row>
    <row r="79" spans="1:16" x14ac:dyDescent="0.35">
      <c r="A79" s="6">
        <v>44822</v>
      </c>
      <c r="B79" s="8">
        <v>4168.8500000000004</v>
      </c>
      <c r="C79" s="8">
        <v>-155.14999999999964</v>
      </c>
      <c r="D79" s="8">
        <v>-3.5881128584643762</v>
      </c>
      <c r="E79" s="8">
        <v>96639</v>
      </c>
      <c r="F79" s="8">
        <v>-82119</v>
      </c>
      <c r="G79" s="8">
        <v>-45.938643305474443</v>
      </c>
      <c r="J79" s="6">
        <v>44822</v>
      </c>
      <c r="K79" s="8">
        <v>15243.95</v>
      </c>
      <c r="L79" s="8">
        <v>-223.44999999999891</v>
      </c>
      <c r="M79" s="8">
        <v>-1.4446513311868763</v>
      </c>
      <c r="N79" s="8">
        <v>9615465803</v>
      </c>
      <c r="O79" s="8">
        <v>-962662007</v>
      </c>
      <c r="P79" s="8">
        <v>-9.1004951376173633</v>
      </c>
    </row>
    <row r="80" spans="1:16" x14ac:dyDescent="0.35">
      <c r="A80" s="6">
        <v>44815</v>
      </c>
      <c r="B80" s="8">
        <v>4324</v>
      </c>
      <c r="C80" s="8">
        <v>65.050000000000182</v>
      </c>
      <c r="D80" s="8">
        <v>1.52737177003722</v>
      </c>
      <c r="E80" s="8">
        <v>178758</v>
      </c>
      <c r="F80" s="8">
        <v>123173</v>
      </c>
      <c r="G80" s="8">
        <v>221.59395520374201</v>
      </c>
      <c r="J80" s="6">
        <v>44815</v>
      </c>
      <c r="K80" s="8">
        <v>15467.4</v>
      </c>
      <c r="L80" s="8">
        <v>265.79999999999927</v>
      </c>
      <c r="M80" s="8">
        <v>1.7485001578781132</v>
      </c>
      <c r="N80" s="8">
        <v>10578127810</v>
      </c>
      <c r="O80" s="8">
        <v>3576135601</v>
      </c>
      <c r="P80" s="8">
        <v>51.073115968387107</v>
      </c>
    </row>
    <row r="81" spans="1:16" x14ac:dyDescent="0.35">
      <c r="A81" s="6">
        <v>44808</v>
      </c>
      <c r="B81" s="8">
        <v>4258.95</v>
      </c>
      <c r="C81" s="8">
        <v>101.84999999999945</v>
      </c>
      <c r="D81" s="8">
        <v>2.4500252579923369</v>
      </c>
      <c r="E81" s="8">
        <v>55585</v>
      </c>
      <c r="F81" s="8">
        <v>-553</v>
      </c>
      <c r="G81" s="8">
        <v>-0.98507249991093382</v>
      </c>
      <c r="J81" s="6">
        <v>44808</v>
      </c>
      <c r="K81" s="8">
        <v>15201.6</v>
      </c>
      <c r="L81" s="8">
        <v>54.050000000001091</v>
      </c>
      <c r="M81" s="8">
        <v>0.35682338067873082</v>
      </c>
      <c r="N81" s="8">
        <v>7001992209</v>
      </c>
      <c r="O81" s="8">
        <v>-2117246180</v>
      </c>
      <c r="P81" s="8">
        <v>-23.217357521368335</v>
      </c>
    </row>
    <row r="82" spans="1:16" x14ac:dyDescent="0.35">
      <c r="A82" s="6">
        <v>44801</v>
      </c>
      <c r="B82" s="8">
        <v>4157.1000000000004</v>
      </c>
      <c r="C82" s="8">
        <v>-94.149999999999636</v>
      </c>
      <c r="D82" s="8">
        <v>-2.2146427521317174</v>
      </c>
      <c r="E82" s="8">
        <v>56138</v>
      </c>
      <c r="F82" s="8">
        <v>-16179</v>
      </c>
      <c r="G82" s="8">
        <v>-22.372332923102451</v>
      </c>
      <c r="J82" s="6">
        <v>44801</v>
      </c>
      <c r="K82" s="8">
        <v>15147.55</v>
      </c>
      <c r="L82" s="8">
        <v>-89.100000000000364</v>
      </c>
      <c r="M82" s="8">
        <v>-0.58477421217918879</v>
      </c>
      <c r="N82" s="8">
        <v>9119238389</v>
      </c>
      <c r="O82" s="8">
        <v>1792533593</v>
      </c>
      <c r="P82" s="8">
        <v>24.465754290777898</v>
      </c>
    </row>
    <row r="83" spans="1:16" x14ac:dyDescent="0.35">
      <c r="A83" s="6">
        <v>44794</v>
      </c>
      <c r="B83" s="8">
        <v>4251.25</v>
      </c>
      <c r="C83" s="8">
        <v>29.050000000000182</v>
      </c>
      <c r="D83" s="8">
        <v>0.68802993699967274</v>
      </c>
      <c r="E83" s="8">
        <v>72317</v>
      </c>
      <c r="F83" s="8">
        <v>-263300</v>
      </c>
      <c r="G83" s="8">
        <v>-78.452521773330915</v>
      </c>
      <c r="J83" s="6">
        <v>44794</v>
      </c>
      <c r="K83" s="8">
        <v>15236.65</v>
      </c>
      <c r="L83" s="8">
        <v>96.100000000000364</v>
      </c>
      <c r="M83" s="8">
        <v>0.63471934639098559</v>
      </c>
      <c r="N83" s="8">
        <v>7326704796</v>
      </c>
      <c r="O83" s="8">
        <v>1001588575</v>
      </c>
      <c r="P83" s="8">
        <v>15.83510152231873</v>
      </c>
    </row>
    <row r="84" spans="1:16" x14ac:dyDescent="0.35">
      <c r="A84" s="6">
        <v>44787</v>
      </c>
      <c r="B84" s="8">
        <v>4222.2</v>
      </c>
      <c r="C84" s="8">
        <v>20.099999999999454</v>
      </c>
      <c r="D84" s="8">
        <v>0.47833226244019544</v>
      </c>
      <c r="E84" s="8">
        <v>335617</v>
      </c>
      <c r="F84" s="8">
        <v>247043</v>
      </c>
      <c r="G84" s="8">
        <v>278.91141870074739</v>
      </c>
      <c r="J84" s="6">
        <v>44787</v>
      </c>
      <c r="K84" s="8">
        <v>15140.55</v>
      </c>
      <c r="L84" s="8">
        <v>240.14999999999964</v>
      </c>
      <c r="M84" s="8">
        <v>1.6117016992832383</v>
      </c>
      <c r="N84" s="8">
        <v>6325116221</v>
      </c>
      <c r="O84" s="8">
        <v>-5937918289</v>
      </c>
      <c r="P84" s="8">
        <v>-48.421280101249586</v>
      </c>
    </row>
    <row r="85" spans="1:16" x14ac:dyDescent="0.35">
      <c r="A85" s="6">
        <v>44780</v>
      </c>
      <c r="B85" s="8">
        <v>4202.1000000000004</v>
      </c>
      <c r="C85" s="8">
        <v>18.400000000000546</v>
      </c>
      <c r="D85" s="8">
        <v>0.43980208905993612</v>
      </c>
      <c r="E85" s="8">
        <v>88574</v>
      </c>
      <c r="F85" s="8">
        <v>18017</v>
      </c>
      <c r="G85" s="8">
        <v>25.535382740195871</v>
      </c>
      <c r="J85" s="6">
        <v>44780</v>
      </c>
      <c r="K85" s="8">
        <v>14900.4</v>
      </c>
      <c r="L85" s="8">
        <v>234.75</v>
      </c>
      <c r="M85" s="8">
        <v>1.6006791379857013</v>
      </c>
      <c r="N85" s="8">
        <v>12263034510</v>
      </c>
      <c r="O85" s="8">
        <v>4214880559</v>
      </c>
      <c r="P85" s="8">
        <v>52.370774523719099</v>
      </c>
    </row>
    <row r="86" spans="1:16" x14ac:dyDescent="0.35">
      <c r="A86" s="6">
        <v>44773</v>
      </c>
      <c r="B86" s="8">
        <v>4183.7</v>
      </c>
      <c r="C86" s="8">
        <v>-10.5</v>
      </c>
      <c r="D86" s="8">
        <v>-0.25034571551189738</v>
      </c>
      <c r="E86" s="8">
        <v>70557</v>
      </c>
      <c r="F86" s="8">
        <v>25911</v>
      </c>
      <c r="G86" s="8">
        <v>58.036554226582446</v>
      </c>
      <c r="J86" s="6">
        <v>44773</v>
      </c>
      <c r="K86" s="8">
        <v>14665.65</v>
      </c>
      <c r="L86" s="8">
        <v>329.04999999999927</v>
      </c>
      <c r="M86" s="8">
        <v>2.2951745881171215</v>
      </c>
      <c r="N86" s="8">
        <v>8048153951</v>
      </c>
      <c r="O86" s="8">
        <v>1609153680</v>
      </c>
      <c r="P86" s="8">
        <v>24.990737882824977</v>
      </c>
    </row>
    <row r="87" spans="1:16" x14ac:dyDescent="0.35">
      <c r="A87" s="6">
        <v>44766</v>
      </c>
      <c r="B87" s="8">
        <v>4194.2</v>
      </c>
      <c r="C87" s="8">
        <v>92.099999999999454</v>
      </c>
      <c r="D87" s="8">
        <v>2.245191487286986</v>
      </c>
      <c r="E87" s="8">
        <v>44646</v>
      </c>
      <c r="F87" s="8">
        <v>12013</v>
      </c>
      <c r="G87" s="8">
        <v>36.81242913615052</v>
      </c>
      <c r="J87" s="6">
        <v>44766</v>
      </c>
      <c r="K87" s="8">
        <v>14336.6</v>
      </c>
      <c r="L87" s="8">
        <v>546.39999999999964</v>
      </c>
      <c r="M87" s="8">
        <v>3.9622340502675786</v>
      </c>
      <c r="N87" s="8">
        <v>6439000271</v>
      </c>
      <c r="O87" s="8">
        <v>693734048</v>
      </c>
      <c r="P87" s="8">
        <v>12.074880798783134</v>
      </c>
    </row>
    <row r="88" spans="1:16" x14ac:dyDescent="0.35">
      <c r="A88" s="6">
        <v>44759</v>
      </c>
      <c r="B88" s="8">
        <v>4102.1000000000004</v>
      </c>
      <c r="C88" s="8">
        <v>-40.75</v>
      </c>
      <c r="D88" s="8">
        <v>-0.98362238555583703</v>
      </c>
      <c r="E88" s="8">
        <v>32633</v>
      </c>
      <c r="F88" s="8">
        <v>5205</v>
      </c>
      <c r="G88" s="8">
        <v>18.97695785328861</v>
      </c>
      <c r="J88" s="6">
        <v>44759</v>
      </c>
      <c r="K88" s="8">
        <v>13790.2</v>
      </c>
      <c r="L88" s="8">
        <v>-38.049999999999272</v>
      </c>
      <c r="M88" s="8">
        <v>-0.27516135447362661</v>
      </c>
      <c r="N88" s="8">
        <v>5745266223</v>
      </c>
      <c r="O88" s="8">
        <v>35294851</v>
      </c>
      <c r="P88" s="8">
        <v>0.61812658419051703</v>
      </c>
    </row>
    <row r="89" spans="1:16" x14ac:dyDescent="0.35">
      <c r="A89" s="6">
        <v>44752</v>
      </c>
      <c r="B89" s="8">
        <v>4142.8500000000004</v>
      </c>
      <c r="C89" s="8">
        <v>33</v>
      </c>
      <c r="D89" s="8">
        <v>0.80294901273769104</v>
      </c>
      <c r="E89" s="8">
        <v>27428</v>
      </c>
      <c r="F89" s="8">
        <v>-1030</v>
      </c>
      <c r="G89" s="8">
        <v>-3.6193688945112097</v>
      </c>
      <c r="J89" s="6">
        <v>44752</v>
      </c>
      <c r="K89" s="8">
        <v>13828.25</v>
      </c>
      <c r="L89" s="8">
        <v>433.79999999999927</v>
      </c>
      <c r="M89" s="8">
        <v>3.2386548159872128</v>
      </c>
      <c r="N89" s="8">
        <v>5709971372</v>
      </c>
      <c r="O89" s="8">
        <v>-739557304</v>
      </c>
      <c r="P89" s="8">
        <v>-11.466842635370275</v>
      </c>
    </row>
    <row r="90" spans="1:16" x14ac:dyDescent="0.35">
      <c r="A90" s="6">
        <v>44745</v>
      </c>
      <c r="B90" s="8">
        <v>4109.8500000000004</v>
      </c>
      <c r="C90" s="8">
        <v>10.550000000000182</v>
      </c>
      <c r="D90" s="8">
        <v>0.25736101285585788</v>
      </c>
      <c r="E90" s="8">
        <v>28458</v>
      </c>
      <c r="F90" s="8">
        <v>-23628</v>
      </c>
      <c r="G90" s="8">
        <v>-45.36343739200553</v>
      </c>
      <c r="J90" s="6">
        <v>44745</v>
      </c>
      <c r="K90" s="8">
        <v>13394.45</v>
      </c>
      <c r="L90" s="8">
        <v>71.950000000000728</v>
      </c>
      <c r="M90" s="8">
        <v>0.5400638018389996</v>
      </c>
      <c r="N90" s="8">
        <v>6449528676</v>
      </c>
      <c r="O90" s="8">
        <v>-270832533</v>
      </c>
      <c r="P90" s="8">
        <v>-4.030029407307711</v>
      </c>
    </row>
    <row r="91" spans="1:16" x14ac:dyDescent="0.35">
      <c r="A91" s="6">
        <v>44738</v>
      </c>
      <c r="B91" s="8">
        <v>4099.3</v>
      </c>
      <c r="C91" s="8">
        <v>-6.5500000000001819</v>
      </c>
      <c r="D91" s="8">
        <v>-0.15952847765992867</v>
      </c>
      <c r="E91" s="8">
        <v>52086</v>
      </c>
      <c r="F91" s="8">
        <v>-37556</v>
      </c>
      <c r="G91" s="8">
        <v>-41.895540037036213</v>
      </c>
      <c r="J91" s="6">
        <v>44738</v>
      </c>
      <c r="K91" s="8">
        <v>13322.5</v>
      </c>
      <c r="L91" s="8">
        <v>327.75</v>
      </c>
      <c r="M91" s="8">
        <v>2.522172415783297</v>
      </c>
      <c r="N91" s="8">
        <v>6720361209</v>
      </c>
      <c r="O91" s="8">
        <v>171474584</v>
      </c>
      <c r="P91" s="8">
        <v>2.618377654384878</v>
      </c>
    </row>
    <row r="92" spans="1:16" x14ac:dyDescent="0.35">
      <c r="A92" s="6">
        <v>44731</v>
      </c>
      <c r="B92" s="8">
        <v>4105.8500000000004</v>
      </c>
      <c r="C92" s="8">
        <v>-45.299999999999272</v>
      </c>
      <c r="D92" s="8">
        <v>-1.0912638666393475</v>
      </c>
      <c r="E92" s="8">
        <v>89642</v>
      </c>
      <c r="F92" s="8">
        <v>21034</v>
      </c>
      <c r="G92" s="8">
        <v>30.658232276119403</v>
      </c>
      <c r="J92" s="6">
        <v>44731</v>
      </c>
      <c r="K92" s="8">
        <v>12994.75</v>
      </c>
      <c r="L92" s="8">
        <v>-787</v>
      </c>
      <c r="M92" s="8">
        <v>-5.7104504144974335</v>
      </c>
      <c r="N92" s="8">
        <v>6548886625</v>
      </c>
      <c r="O92" s="8">
        <v>934185449</v>
      </c>
      <c r="P92" s="8">
        <v>16.638204237710262</v>
      </c>
    </row>
    <row r="93" spans="1:16" x14ac:dyDescent="0.35">
      <c r="A93" s="6">
        <v>44724</v>
      </c>
      <c r="B93" s="8">
        <v>4151.1499999999996</v>
      </c>
      <c r="C93" s="8">
        <v>-39.900000000000546</v>
      </c>
      <c r="D93" s="8">
        <v>-0.95202872788443338</v>
      </c>
      <c r="E93" s="8">
        <v>68608</v>
      </c>
      <c r="F93" s="8">
        <v>14275</v>
      </c>
      <c r="G93" s="8">
        <v>26.273167320044909</v>
      </c>
      <c r="J93" s="6">
        <v>44724</v>
      </c>
      <c r="K93" s="8">
        <v>13781.75</v>
      </c>
      <c r="L93" s="8">
        <v>-296.14999999999964</v>
      </c>
      <c r="M93" s="8">
        <v>-2.1036518230701997</v>
      </c>
      <c r="N93" s="8">
        <v>5614701176</v>
      </c>
      <c r="O93" s="8">
        <v>-2223102502</v>
      </c>
      <c r="P93" s="8">
        <v>-28.363845196072543</v>
      </c>
    </row>
    <row r="94" spans="1:16" x14ac:dyDescent="0.35">
      <c r="A94" s="6">
        <v>44717</v>
      </c>
      <c r="B94" s="8">
        <v>4191.05</v>
      </c>
      <c r="C94" s="8">
        <v>-82</v>
      </c>
      <c r="D94" s="8">
        <v>-1.91900399012415</v>
      </c>
      <c r="E94" s="8">
        <v>54333</v>
      </c>
      <c r="F94" s="8">
        <v>-106512</v>
      </c>
      <c r="G94" s="8">
        <v>-66.220274177002707</v>
      </c>
      <c r="J94" s="6">
        <v>44717</v>
      </c>
      <c r="K94" s="8">
        <v>14077.9</v>
      </c>
      <c r="L94" s="8">
        <v>204.75</v>
      </c>
      <c r="M94" s="8">
        <v>1.475872458670165</v>
      </c>
      <c r="N94" s="8">
        <v>7837803678</v>
      </c>
      <c r="O94" s="8">
        <v>397690405</v>
      </c>
      <c r="P94" s="8">
        <v>5.3452197622206823</v>
      </c>
    </row>
    <row r="95" spans="1:16" x14ac:dyDescent="0.35">
      <c r="A95" s="6">
        <v>44710</v>
      </c>
      <c r="B95" s="8">
        <v>4273.05</v>
      </c>
      <c r="C95" s="8">
        <v>-80.849999999999454</v>
      </c>
      <c r="D95" s="8">
        <v>-1.8569558327017033</v>
      </c>
      <c r="E95" s="8">
        <v>160845</v>
      </c>
      <c r="F95" s="8">
        <v>-39588</v>
      </c>
      <c r="G95" s="8">
        <v>-19.7512385684992</v>
      </c>
      <c r="J95" s="6">
        <v>44710</v>
      </c>
      <c r="K95" s="8">
        <v>13873.15</v>
      </c>
      <c r="L95" s="8">
        <v>-21.899999999999636</v>
      </c>
      <c r="M95" s="8">
        <v>-0.15761008416666106</v>
      </c>
      <c r="N95" s="8">
        <v>7440113273</v>
      </c>
      <c r="O95" s="8">
        <v>-113737434</v>
      </c>
      <c r="P95" s="8">
        <v>-1.5056881372384263</v>
      </c>
    </row>
    <row r="96" spans="1:16" x14ac:dyDescent="0.35">
      <c r="A96" s="6">
        <v>44703</v>
      </c>
      <c r="B96" s="8">
        <v>4353.8999999999996</v>
      </c>
      <c r="C96" s="8">
        <v>101.94999999999982</v>
      </c>
      <c r="D96" s="8">
        <v>2.3977233974999663</v>
      </c>
      <c r="E96" s="8">
        <v>200433</v>
      </c>
      <c r="F96" s="8">
        <v>20922</v>
      </c>
      <c r="G96" s="8">
        <v>11.654996072664071</v>
      </c>
      <c r="J96" s="6">
        <v>44703</v>
      </c>
      <c r="K96" s="8">
        <v>13895.05</v>
      </c>
      <c r="L96" s="8">
        <v>423.54999999999927</v>
      </c>
      <c r="M96" s="8">
        <v>3.144044835393232</v>
      </c>
      <c r="N96" s="8">
        <v>7553850707</v>
      </c>
      <c r="O96" s="8">
        <v>-555590827</v>
      </c>
      <c r="P96" s="8">
        <v>-6.851160152898391</v>
      </c>
    </row>
    <row r="97" spans="1:16" x14ac:dyDescent="0.35">
      <c r="A97" s="6">
        <v>44696</v>
      </c>
      <c r="B97" s="8">
        <v>4251.95</v>
      </c>
      <c r="C97" s="8">
        <v>-64.949999999999818</v>
      </c>
      <c r="D97" s="8">
        <v>-1.5045518775046869</v>
      </c>
      <c r="E97" s="8">
        <v>179511</v>
      </c>
      <c r="F97" s="8">
        <v>-80576</v>
      </c>
      <c r="G97" s="8">
        <v>-30.980402711400416</v>
      </c>
      <c r="J97" s="6">
        <v>44696</v>
      </c>
      <c r="K97" s="8">
        <v>13471.5</v>
      </c>
      <c r="L97" s="8">
        <v>-674.25</v>
      </c>
      <c r="M97" s="8">
        <v>-4.766449286888288</v>
      </c>
      <c r="N97" s="8">
        <v>8109441534</v>
      </c>
      <c r="O97" s="8">
        <v>2190746387</v>
      </c>
      <c r="P97" s="8">
        <v>37.014009550912931</v>
      </c>
    </row>
    <row r="98" spans="1:16" x14ac:dyDescent="0.35">
      <c r="A98" s="6">
        <v>44689</v>
      </c>
      <c r="B98" s="8">
        <v>4316.8999999999996</v>
      </c>
      <c r="C98" s="8">
        <v>-69</v>
      </c>
      <c r="D98" s="8">
        <v>-1.573223283704599</v>
      </c>
      <c r="E98" s="8">
        <v>260087</v>
      </c>
      <c r="F98" s="8">
        <v>-63811</v>
      </c>
      <c r="G98" s="8">
        <v>-19.700955238994993</v>
      </c>
      <c r="J98" s="6">
        <v>44689</v>
      </c>
      <c r="K98" s="8">
        <v>14145.75</v>
      </c>
      <c r="L98" s="8">
        <v>-637.60000000000036</v>
      </c>
      <c r="M98" s="8">
        <v>-4.3129601883199706</v>
      </c>
      <c r="N98" s="8">
        <v>5918695147</v>
      </c>
      <c r="O98" s="8">
        <v>-1730452351</v>
      </c>
      <c r="P98" s="8">
        <v>-22.622813214838075</v>
      </c>
    </row>
    <row r="99" spans="1:16" x14ac:dyDescent="0.35">
      <c r="A99" s="6">
        <v>44682</v>
      </c>
      <c r="B99" s="8">
        <v>4385.8999999999996</v>
      </c>
      <c r="C99" s="8">
        <v>37.649999999999636</v>
      </c>
      <c r="D99" s="8">
        <v>0.8658655781061263</v>
      </c>
      <c r="E99" s="8">
        <v>323898</v>
      </c>
      <c r="F99" s="8">
        <v>180139</v>
      </c>
      <c r="G99" s="8">
        <v>125.30624169617207</v>
      </c>
      <c r="J99" s="6">
        <v>44682</v>
      </c>
      <c r="K99" s="8">
        <v>14783.35</v>
      </c>
      <c r="L99" s="8">
        <v>-111.5</v>
      </c>
      <c r="M99" s="8">
        <v>-0.74858088533956368</v>
      </c>
      <c r="N99" s="8">
        <v>7649147498</v>
      </c>
      <c r="O99" s="8">
        <v>-261055991</v>
      </c>
      <c r="P99" s="8">
        <v>-3.3002436835288349</v>
      </c>
    </row>
    <row r="100" spans="1:16" x14ac:dyDescent="0.35">
      <c r="A100" s="6">
        <v>44675</v>
      </c>
      <c r="B100" s="8">
        <v>4348.25</v>
      </c>
      <c r="C100" s="8">
        <v>-69.75</v>
      </c>
      <c r="D100" s="8">
        <v>-1.5787686736079674</v>
      </c>
      <c r="E100" s="8">
        <v>143759</v>
      </c>
      <c r="F100" s="8">
        <v>63594</v>
      </c>
      <c r="G100" s="8">
        <v>79.328884176386197</v>
      </c>
      <c r="J100" s="6">
        <v>44675</v>
      </c>
      <c r="K100" s="8">
        <v>14894.85</v>
      </c>
      <c r="L100" s="8">
        <v>-243.69999999999891</v>
      </c>
      <c r="M100" s="8">
        <v>-1.6097975037239294</v>
      </c>
      <c r="N100" s="8">
        <v>7910203489</v>
      </c>
      <c r="O100" s="8">
        <v>2999631415</v>
      </c>
      <c r="P100" s="8">
        <v>61.085172354604971</v>
      </c>
    </row>
    <row r="101" spans="1:16" x14ac:dyDescent="0.35">
      <c r="A101" s="6">
        <v>44668</v>
      </c>
      <c r="B101" s="8">
        <v>4418</v>
      </c>
      <c r="C101" s="8">
        <v>-67.75</v>
      </c>
      <c r="D101" s="8">
        <v>-1.5103382934849245</v>
      </c>
      <c r="E101" s="8">
        <v>80165</v>
      </c>
      <c r="F101" s="8">
        <v>-61754</v>
      </c>
      <c r="G101" s="8">
        <v>-43.51355350587307</v>
      </c>
      <c r="J101" s="6">
        <v>44668</v>
      </c>
      <c r="K101" s="8">
        <v>15138.55</v>
      </c>
      <c r="L101" s="8">
        <v>-203.85000000000036</v>
      </c>
      <c r="M101" s="8">
        <v>-1.3286708728751719</v>
      </c>
      <c r="N101" s="8">
        <v>4910572074</v>
      </c>
      <c r="O101" s="8">
        <v>-7444925078</v>
      </c>
      <c r="P101" s="8">
        <v>-60.255973405286085</v>
      </c>
    </row>
    <row r="102" spans="1:16" x14ac:dyDescent="0.35">
      <c r="A102" s="6">
        <v>44661</v>
      </c>
      <c r="B102" s="8">
        <v>4485.75</v>
      </c>
      <c r="C102" s="8">
        <v>136.69999999999982</v>
      </c>
      <c r="D102" s="8">
        <v>3.1432151849254391</v>
      </c>
      <c r="E102" s="8">
        <v>141919</v>
      </c>
      <c r="F102" s="8">
        <v>-21993</v>
      </c>
      <c r="G102" s="8">
        <v>-13.417565522963541</v>
      </c>
      <c r="J102" s="6">
        <v>44661</v>
      </c>
      <c r="K102" s="8">
        <v>15342.4</v>
      </c>
      <c r="L102" s="8">
        <v>255.10000000000036</v>
      </c>
      <c r="M102" s="8">
        <v>1.6908260590032702</v>
      </c>
      <c r="N102" s="8">
        <v>12355497152</v>
      </c>
      <c r="O102" s="8">
        <v>3267320769</v>
      </c>
      <c r="P102" s="8">
        <v>35.95133535383102</v>
      </c>
    </row>
    <row r="103" spans="1:16" x14ac:dyDescent="0.35">
      <c r="A103" s="6">
        <v>44654</v>
      </c>
      <c r="B103" s="8">
        <v>4349.05</v>
      </c>
      <c r="C103" s="8">
        <v>-52.300000000000182</v>
      </c>
      <c r="D103" s="8">
        <v>-1.1882717802492457</v>
      </c>
      <c r="E103" s="8">
        <v>163912</v>
      </c>
      <c r="F103" s="8">
        <v>-129497</v>
      </c>
      <c r="G103" s="8">
        <v>-44.135319639138544</v>
      </c>
      <c r="J103" s="6">
        <v>44654</v>
      </c>
      <c r="K103" s="8">
        <v>15087.3</v>
      </c>
      <c r="L103" s="8">
        <v>435.59999999999854</v>
      </c>
      <c r="M103" s="8">
        <v>2.9730338459018308</v>
      </c>
      <c r="N103" s="8">
        <v>9088176383</v>
      </c>
      <c r="O103" s="8">
        <v>1383376467</v>
      </c>
      <c r="P103" s="8">
        <v>17.954735776165222</v>
      </c>
    </row>
    <row r="104" spans="1:16" x14ac:dyDescent="0.35">
      <c r="A104" s="6">
        <v>44647</v>
      </c>
      <c r="B104" s="8">
        <v>4401.3500000000004</v>
      </c>
      <c r="C104" s="8">
        <v>13.350000000000364</v>
      </c>
      <c r="D104" s="8">
        <v>0.30423883318141209</v>
      </c>
      <c r="E104" s="8">
        <v>293409</v>
      </c>
      <c r="F104" s="8">
        <v>109441</v>
      </c>
      <c r="G104" s="8">
        <v>59.489150287006439</v>
      </c>
      <c r="J104" s="6">
        <v>44647</v>
      </c>
      <c r="K104" s="8">
        <v>14651.7</v>
      </c>
      <c r="L104" s="8">
        <v>-70</v>
      </c>
      <c r="M104" s="8">
        <v>-0.47548856450002375</v>
      </c>
      <c r="N104" s="8">
        <v>7704799916</v>
      </c>
      <c r="O104" s="8">
        <v>603419453</v>
      </c>
      <c r="P104" s="8">
        <v>8.4972134100400467</v>
      </c>
    </row>
    <row r="105" spans="1:16" x14ac:dyDescent="0.35">
      <c r="A105" s="6">
        <v>44640</v>
      </c>
      <c r="B105" s="8">
        <v>4388</v>
      </c>
      <c r="C105" s="8">
        <v>-85.5</v>
      </c>
      <c r="D105" s="8">
        <v>-1.9112551693305018</v>
      </c>
      <c r="E105" s="8">
        <v>183968</v>
      </c>
      <c r="F105" s="8">
        <v>-74395</v>
      </c>
      <c r="G105" s="8">
        <v>-28.79475776330202</v>
      </c>
      <c r="J105" s="6">
        <v>44640</v>
      </c>
      <c r="K105" s="8">
        <v>14721.7</v>
      </c>
      <c r="L105" s="8">
        <v>484.55000000000109</v>
      </c>
      <c r="M105" s="8">
        <v>3.403419926038576</v>
      </c>
      <c r="N105" s="8">
        <v>7101380463</v>
      </c>
      <c r="O105" s="8">
        <v>-2357563406</v>
      </c>
      <c r="P105" s="8">
        <v>-24.924171648026089</v>
      </c>
    </row>
    <row r="106" spans="1:16" x14ac:dyDescent="0.35">
      <c r="A106" s="6">
        <v>44633</v>
      </c>
      <c r="B106" s="8">
        <v>4473.5</v>
      </c>
      <c r="C106" s="8">
        <v>136.5</v>
      </c>
      <c r="D106" s="8">
        <v>3.1473368688033201</v>
      </c>
      <c r="E106" s="8">
        <v>258363</v>
      </c>
      <c r="F106" s="8">
        <v>131069</v>
      </c>
      <c r="G106" s="8">
        <v>102.96557575376687</v>
      </c>
      <c r="J106" s="6">
        <v>44633</v>
      </c>
      <c r="K106" s="8">
        <v>14237.15</v>
      </c>
      <c r="L106" s="8">
        <v>344</v>
      </c>
      <c r="M106" s="8">
        <v>2.4760403508203686</v>
      </c>
      <c r="N106" s="8">
        <v>9458943869</v>
      </c>
      <c r="O106" s="8">
        <v>1313858027</v>
      </c>
      <c r="P106" s="8">
        <v>16.130683610786676</v>
      </c>
    </row>
    <row r="107" spans="1:16" x14ac:dyDescent="0.35">
      <c r="A107" s="6">
        <v>44626</v>
      </c>
      <c r="B107" s="8">
        <v>4337</v>
      </c>
      <c r="C107" s="8">
        <v>-12.199999999999818</v>
      </c>
      <c r="D107" s="8">
        <v>-0.28051135841073804</v>
      </c>
      <c r="E107" s="8">
        <v>127294</v>
      </c>
      <c r="F107" s="8">
        <v>-88705</v>
      </c>
      <c r="G107" s="8">
        <v>-41.067319756109981</v>
      </c>
      <c r="J107" s="6">
        <v>44626</v>
      </c>
      <c r="K107" s="8">
        <v>13893.15</v>
      </c>
      <c r="L107" s="8">
        <v>-294.25</v>
      </c>
      <c r="M107" s="8">
        <v>-2.0740234292400301</v>
      </c>
      <c r="N107" s="8">
        <v>8145085842</v>
      </c>
      <c r="O107" s="8">
        <v>-1668165289</v>
      </c>
      <c r="P107" s="8">
        <v>-16.999109334217241</v>
      </c>
    </row>
    <row r="108" spans="1:16" x14ac:dyDescent="0.35">
      <c r="A108" s="6">
        <v>44619</v>
      </c>
      <c r="B108" s="8">
        <v>4349.2</v>
      </c>
      <c r="C108" s="8">
        <v>6.3000000000001819</v>
      </c>
      <c r="D108" s="8">
        <v>0.14506435791752476</v>
      </c>
      <c r="E108" s="8">
        <v>215999</v>
      </c>
      <c r="F108" s="8">
        <v>24519</v>
      </c>
      <c r="G108" s="8">
        <v>12.804992688531438</v>
      </c>
      <c r="J108" s="6">
        <v>44619</v>
      </c>
      <c r="K108" s="8">
        <v>14187.4</v>
      </c>
      <c r="L108" s="8">
        <v>-523.30000000000109</v>
      </c>
      <c r="M108" s="8">
        <v>-3.557274636828982</v>
      </c>
      <c r="N108" s="8">
        <v>9813251131</v>
      </c>
      <c r="O108" s="8">
        <v>2516251562</v>
      </c>
      <c r="P108" s="8">
        <v>34.483372764469465</v>
      </c>
    </row>
    <row r="109" spans="1:16" x14ac:dyDescent="0.35">
      <c r="A109" s="6">
        <v>44612</v>
      </c>
      <c r="B109" s="8">
        <v>4342.8999999999996</v>
      </c>
      <c r="C109" s="8">
        <v>-108.05000000000018</v>
      </c>
      <c r="D109" s="8">
        <v>-2.4275716420090134</v>
      </c>
      <c r="E109" s="8">
        <v>191480</v>
      </c>
      <c r="F109" s="8">
        <v>-201738</v>
      </c>
      <c r="G109" s="8">
        <v>-51.304365517346611</v>
      </c>
      <c r="J109" s="6">
        <v>44612</v>
      </c>
      <c r="K109" s="8">
        <v>14710.7</v>
      </c>
      <c r="L109" s="8">
        <v>-180.59999999999854</v>
      </c>
      <c r="M109" s="8">
        <v>-1.2127886752667567</v>
      </c>
      <c r="N109" s="8">
        <v>7296999569</v>
      </c>
      <c r="O109" s="8">
        <v>-762605766</v>
      </c>
      <c r="P109" s="8">
        <v>-9.4620733187551291</v>
      </c>
    </row>
    <row r="110" spans="1:16" x14ac:dyDescent="0.35">
      <c r="A110" s="6">
        <v>44605</v>
      </c>
      <c r="B110" s="8">
        <v>4450.95</v>
      </c>
      <c r="C110" s="8">
        <v>-20.449999999999818</v>
      </c>
      <c r="D110" s="8">
        <v>-0.4573511651831601</v>
      </c>
      <c r="E110" s="8">
        <v>393218</v>
      </c>
      <c r="F110" s="8">
        <v>80529</v>
      </c>
      <c r="G110" s="8">
        <v>25.753704159724197</v>
      </c>
      <c r="J110" s="6">
        <v>44605</v>
      </c>
      <c r="K110" s="8">
        <v>14891.3</v>
      </c>
      <c r="L110" s="8">
        <v>-194.15000000000146</v>
      </c>
      <c r="M110" s="8">
        <v>-1.2870017135716962</v>
      </c>
      <c r="N110" s="8">
        <v>8059605335</v>
      </c>
      <c r="O110" s="8">
        <v>-1331220186</v>
      </c>
      <c r="P110" s="8">
        <v>-14.175752525942389</v>
      </c>
    </row>
    <row r="111" spans="1:16" x14ac:dyDescent="0.35">
      <c r="A111" s="6">
        <v>44598</v>
      </c>
      <c r="B111" s="8">
        <v>4471.3999999999996</v>
      </c>
      <c r="C111" s="8">
        <v>-10.050000000000182</v>
      </c>
      <c r="D111" s="8">
        <v>-0.22425777371163758</v>
      </c>
      <c r="E111" s="8">
        <v>312689</v>
      </c>
      <c r="F111" s="8">
        <v>193262</v>
      </c>
      <c r="G111" s="8">
        <v>161.82437807196027</v>
      </c>
      <c r="J111" s="6">
        <v>44598</v>
      </c>
      <c r="K111" s="8">
        <v>15085.45</v>
      </c>
      <c r="L111" s="8">
        <v>362.20000000000073</v>
      </c>
      <c r="M111" s="8">
        <v>2.4600546754283239</v>
      </c>
      <c r="N111" s="8">
        <v>9390825521</v>
      </c>
      <c r="O111" s="8">
        <v>882690157</v>
      </c>
      <c r="P111" s="8">
        <v>10.374660477722037</v>
      </c>
    </row>
    <row r="112" spans="1:16" x14ac:dyDescent="0.35">
      <c r="A112" s="6">
        <v>44591</v>
      </c>
      <c r="B112" s="8">
        <v>4481.45</v>
      </c>
      <c r="C112" s="8">
        <v>-266.15000000000055</v>
      </c>
      <c r="D112" s="8">
        <v>-5.6059903951470327</v>
      </c>
      <c r="E112" s="8">
        <v>119427</v>
      </c>
      <c r="F112" s="8">
        <v>-146847</v>
      </c>
      <c r="G112" s="8">
        <v>-55.148831654611413</v>
      </c>
      <c r="J112" s="6">
        <v>44591</v>
      </c>
      <c r="K112" s="8">
        <v>14723.25</v>
      </c>
      <c r="L112" s="8">
        <v>-457.54999999999927</v>
      </c>
      <c r="M112" s="8">
        <v>-3.0140045320404676</v>
      </c>
      <c r="N112" s="8">
        <v>8508135364</v>
      </c>
      <c r="O112" s="8">
        <v>79786051</v>
      </c>
      <c r="P112" s="8">
        <v>0.94663911089846398</v>
      </c>
    </row>
    <row r="113" spans="1:16" x14ac:dyDescent="0.35">
      <c r="A113" s="6">
        <v>44584</v>
      </c>
      <c r="B113" s="8">
        <v>4747.6000000000004</v>
      </c>
      <c r="C113" s="8">
        <v>-149.69999999999982</v>
      </c>
      <c r="D113" s="8">
        <v>-3.0567863925019871</v>
      </c>
      <c r="E113" s="8">
        <v>266274</v>
      </c>
      <c r="F113" s="8">
        <v>129942</v>
      </c>
      <c r="G113" s="8">
        <v>95.31291259572221</v>
      </c>
      <c r="J113" s="6">
        <v>44584</v>
      </c>
      <c r="K113" s="8">
        <v>15180.8</v>
      </c>
      <c r="L113" s="8">
        <v>-549.60000000000036</v>
      </c>
      <c r="M113" s="8">
        <v>-3.4938717387987617</v>
      </c>
      <c r="N113" s="8">
        <v>8428349313</v>
      </c>
      <c r="O113" s="8">
        <v>-3103539023</v>
      </c>
      <c r="P113" s="8">
        <v>-26.912669743006781</v>
      </c>
    </row>
    <row r="114" spans="1:16" x14ac:dyDescent="0.35">
      <c r="A114" s="6">
        <v>44577</v>
      </c>
      <c r="B114" s="8">
        <v>4897.3</v>
      </c>
      <c r="C114" s="8">
        <v>-50.25</v>
      </c>
      <c r="D114" s="8">
        <v>-1.0156542126911299</v>
      </c>
      <c r="E114" s="8">
        <v>136332</v>
      </c>
      <c r="F114" s="8">
        <v>-33409</v>
      </c>
      <c r="G114" s="8">
        <v>-19.682339564395168</v>
      </c>
      <c r="J114" s="6">
        <v>44577</v>
      </c>
      <c r="K114" s="8">
        <v>15730.4</v>
      </c>
      <c r="L114" s="8">
        <v>381.85000000000036</v>
      </c>
      <c r="M114" s="8">
        <v>2.4878571591453289</v>
      </c>
      <c r="N114" s="8">
        <v>11531888336</v>
      </c>
      <c r="O114" s="8">
        <v>2279810372</v>
      </c>
      <c r="P114" s="8">
        <v>24.641063130583017</v>
      </c>
    </row>
    <row r="115" spans="1:16" x14ac:dyDescent="0.35">
      <c r="A115" s="6">
        <v>44570</v>
      </c>
      <c r="B115" s="8">
        <v>4947.55</v>
      </c>
      <c r="C115" s="8">
        <v>-107.75</v>
      </c>
      <c r="D115" s="8">
        <v>-2.1314264237532887</v>
      </c>
      <c r="E115" s="8">
        <v>169741</v>
      </c>
      <c r="F115" s="8">
        <v>34659</v>
      </c>
      <c r="G115" s="8">
        <v>25.657748626760043</v>
      </c>
      <c r="J115" s="6">
        <v>44570</v>
      </c>
      <c r="K115" s="8">
        <v>15348.55</v>
      </c>
      <c r="L115" s="8">
        <v>352.34999999999854</v>
      </c>
      <c r="M115" s="8">
        <v>2.3495952307917909</v>
      </c>
      <c r="N115" s="8">
        <v>9252077964</v>
      </c>
      <c r="O115" s="8">
        <v>1623653264</v>
      </c>
      <c r="P115" s="8">
        <v>21.284253667732997</v>
      </c>
    </row>
    <row r="116" spans="1:16" x14ac:dyDescent="0.35">
      <c r="A116" s="6">
        <v>44563</v>
      </c>
      <c r="B116" s="8">
        <v>5055.3</v>
      </c>
      <c r="C116" s="8">
        <v>1.9000000000005457</v>
      </c>
      <c r="D116" s="8">
        <v>3.7598448569290892E-2</v>
      </c>
      <c r="E116" s="8">
        <v>135082</v>
      </c>
      <c r="F116" s="8">
        <v>-293979</v>
      </c>
      <c r="G116" s="8">
        <v>-68.51683094012273</v>
      </c>
      <c r="J116" s="6">
        <v>44563</v>
      </c>
      <c r="K116" s="8">
        <v>14996.2</v>
      </c>
      <c r="L116" s="8">
        <v>331.40000000000146</v>
      </c>
      <c r="M116" s="8">
        <v>2.2598330696634217</v>
      </c>
      <c r="N116" s="8">
        <v>7628424700</v>
      </c>
      <c r="O116" s="8">
        <v>-139954297</v>
      </c>
      <c r="P116" s="8">
        <v>-1.8015894571318891</v>
      </c>
    </row>
    <row r="117" spans="1:16" x14ac:dyDescent="0.35">
      <c r="A117" s="6">
        <v>44556</v>
      </c>
      <c r="B117" s="8">
        <v>5053.3999999999996</v>
      </c>
      <c r="C117" s="8">
        <v>78.799999999999272</v>
      </c>
      <c r="D117" s="8">
        <v>1.5840469585494164</v>
      </c>
      <c r="E117" s="8">
        <v>429061</v>
      </c>
      <c r="F117" s="8">
        <v>-184686</v>
      </c>
      <c r="G117" s="8">
        <v>-30.091552382333436</v>
      </c>
      <c r="J117" s="6">
        <v>44556</v>
      </c>
      <c r="K117" s="8">
        <v>14664.8</v>
      </c>
      <c r="L117" s="8">
        <v>-8.3500000000003638</v>
      </c>
      <c r="M117" s="8">
        <v>-5.6906662850174393E-2</v>
      </c>
      <c r="N117" s="8">
        <v>7768378997</v>
      </c>
      <c r="O117" s="8">
        <v>-1164083956</v>
      </c>
      <c r="P117" s="8">
        <v>-13.032060274137921</v>
      </c>
    </row>
    <row r="118" spans="1:16" x14ac:dyDescent="0.35">
      <c r="A118" s="6">
        <v>44549</v>
      </c>
      <c r="B118" s="8">
        <v>4974.6000000000004</v>
      </c>
      <c r="C118" s="8">
        <v>106.85000000000036</v>
      </c>
      <c r="D118" s="8">
        <v>2.1950593189872194</v>
      </c>
      <c r="E118" s="8">
        <v>613747</v>
      </c>
      <c r="F118" s="8">
        <v>432312</v>
      </c>
      <c r="G118" s="8">
        <v>238.27376195331661</v>
      </c>
      <c r="J118" s="6">
        <v>44549</v>
      </c>
      <c r="K118" s="8">
        <v>14673.15</v>
      </c>
      <c r="L118" s="8">
        <v>-481.85000000000036</v>
      </c>
      <c r="M118" s="8">
        <v>-3.1794787198944268</v>
      </c>
      <c r="N118" s="8">
        <v>8932462953</v>
      </c>
      <c r="O118" s="8">
        <v>-3288516293</v>
      </c>
      <c r="P118" s="8">
        <v>-26.908778967743942</v>
      </c>
    </row>
    <row r="119" spans="1:16" x14ac:dyDescent="0.35">
      <c r="A119" s="6">
        <v>44542</v>
      </c>
      <c r="B119" s="8">
        <v>4867.75</v>
      </c>
      <c r="C119" s="8">
        <v>-50</v>
      </c>
      <c r="D119" s="8">
        <v>-1.0167251283615475</v>
      </c>
      <c r="E119" s="8">
        <v>181435</v>
      </c>
      <c r="F119" s="8">
        <v>-353698</v>
      </c>
      <c r="G119" s="8">
        <v>-66.095344521829148</v>
      </c>
      <c r="J119" s="6">
        <v>44542</v>
      </c>
      <c r="K119" s="8">
        <v>15155</v>
      </c>
      <c r="L119" s="8">
        <v>298.70000000000073</v>
      </c>
      <c r="M119" s="8">
        <v>2.0105948318221949</v>
      </c>
      <c r="N119" s="8">
        <v>12220979246</v>
      </c>
      <c r="O119" s="8">
        <v>455059665</v>
      </c>
      <c r="P119" s="8">
        <v>3.8676081530834661</v>
      </c>
    </row>
    <row r="120" spans="1:16" x14ac:dyDescent="0.35">
      <c r="A120" s="6">
        <v>44535</v>
      </c>
      <c r="B120" s="8">
        <v>4917.75</v>
      </c>
      <c r="C120" s="8">
        <v>-214</v>
      </c>
      <c r="D120" s="8">
        <v>-4.1701174063428654</v>
      </c>
      <c r="E120" s="8">
        <v>535133</v>
      </c>
      <c r="F120" s="8">
        <v>286197</v>
      </c>
      <c r="G120" s="8">
        <v>114.96810425169521</v>
      </c>
      <c r="J120" s="6">
        <v>44535</v>
      </c>
      <c r="K120" s="8">
        <v>14856.3</v>
      </c>
      <c r="L120" s="8">
        <v>149.09999999999854</v>
      </c>
      <c r="M120" s="8">
        <v>1.0137891644908517</v>
      </c>
      <c r="N120" s="8">
        <v>11765919581</v>
      </c>
      <c r="O120" s="8">
        <v>1652914953</v>
      </c>
      <c r="P120" s="8">
        <v>16.344449684355471</v>
      </c>
    </row>
    <row r="121" spans="1:16" x14ac:dyDescent="0.35">
      <c r="A121" s="6">
        <v>44528</v>
      </c>
      <c r="B121" s="8">
        <v>5131.75</v>
      </c>
      <c r="C121" s="8">
        <v>64.149999999999636</v>
      </c>
      <c r="D121" s="8">
        <v>1.2658852316678433</v>
      </c>
      <c r="E121" s="8">
        <v>248936</v>
      </c>
      <c r="F121" s="8">
        <v>164897</v>
      </c>
      <c r="G121" s="8">
        <v>196.21485262794656</v>
      </c>
      <c r="J121" s="6">
        <v>44528</v>
      </c>
      <c r="K121" s="8">
        <v>14707.2</v>
      </c>
      <c r="L121" s="8">
        <v>-595.34999999999854</v>
      </c>
      <c r="M121" s="8">
        <v>-3.8905280492466847</v>
      </c>
      <c r="N121" s="8">
        <v>10113004628</v>
      </c>
      <c r="O121" s="8">
        <v>4232611154</v>
      </c>
      <c r="P121" s="8">
        <v>71.978366289847358</v>
      </c>
    </row>
    <row r="122" spans="1:16" x14ac:dyDescent="0.35">
      <c r="A122" s="6">
        <v>44521</v>
      </c>
      <c r="B122" s="8">
        <v>5067.6000000000004</v>
      </c>
      <c r="C122" s="8">
        <v>-61.899999999999636</v>
      </c>
      <c r="D122" s="8">
        <v>-1.2067452968125478</v>
      </c>
      <c r="E122" s="8">
        <v>84039</v>
      </c>
      <c r="F122" s="8">
        <v>-432527</v>
      </c>
      <c r="G122" s="8">
        <v>-83.731217308146483</v>
      </c>
      <c r="J122" s="6">
        <v>44521</v>
      </c>
      <c r="K122" s="8">
        <v>15302.55</v>
      </c>
      <c r="L122" s="8">
        <v>-276.45000000000073</v>
      </c>
      <c r="M122" s="8">
        <v>-1.7745041401887203</v>
      </c>
      <c r="N122" s="8">
        <v>5880393474</v>
      </c>
      <c r="O122" s="8">
        <v>-2801049835</v>
      </c>
      <c r="P122" s="8">
        <v>-32.264794404591328</v>
      </c>
    </row>
    <row r="123" spans="1:16" x14ac:dyDescent="0.35">
      <c r="A123" s="6">
        <v>44514</v>
      </c>
      <c r="B123" s="8">
        <v>5129.5</v>
      </c>
      <c r="C123" s="8">
        <v>121.94999999999982</v>
      </c>
      <c r="D123" s="8">
        <v>2.4353226627791997</v>
      </c>
      <c r="E123" s="8">
        <v>516566</v>
      </c>
      <c r="F123" s="8">
        <v>419714</v>
      </c>
      <c r="G123" s="8">
        <v>433.35604840375004</v>
      </c>
      <c r="J123" s="6">
        <v>44514</v>
      </c>
      <c r="K123" s="8">
        <v>15579</v>
      </c>
      <c r="L123" s="8">
        <v>202.10000000000036</v>
      </c>
      <c r="M123" s="8">
        <v>1.3143091260267048</v>
      </c>
      <c r="N123" s="8">
        <v>8681443309</v>
      </c>
      <c r="O123" s="8">
        <v>3180349196</v>
      </c>
      <c r="P123" s="8">
        <v>57.813030111306517</v>
      </c>
    </row>
    <row r="124" spans="1:16" x14ac:dyDescent="0.35">
      <c r="A124" s="6">
        <v>44507</v>
      </c>
      <c r="B124" s="8">
        <v>5007.55</v>
      </c>
      <c r="C124" s="8">
        <v>-39.800000000000182</v>
      </c>
      <c r="D124" s="8">
        <v>-0.78853259631292028</v>
      </c>
      <c r="E124" s="8">
        <v>96852</v>
      </c>
      <c r="F124" s="8">
        <v>-110589</v>
      </c>
      <c r="G124" s="8">
        <v>-53.311061940503564</v>
      </c>
      <c r="J124" s="6">
        <v>44507</v>
      </c>
      <c r="K124" s="8">
        <v>15376.9</v>
      </c>
      <c r="L124" s="8">
        <v>290</v>
      </c>
      <c r="M124" s="8">
        <v>1.922197403045026</v>
      </c>
      <c r="N124" s="8">
        <v>5501094113</v>
      </c>
      <c r="O124" s="8">
        <v>-5919881641</v>
      </c>
      <c r="P124" s="8">
        <v>-51.833413961382973</v>
      </c>
    </row>
    <row r="125" spans="1:16" x14ac:dyDescent="0.35">
      <c r="A125" s="6">
        <v>44500</v>
      </c>
      <c r="B125" s="8">
        <v>5047.3500000000004</v>
      </c>
      <c r="C125" s="8">
        <v>-106.39999999999964</v>
      </c>
      <c r="D125" s="8">
        <v>-2.0645161290322509</v>
      </c>
      <c r="E125" s="8">
        <v>207441</v>
      </c>
      <c r="F125" s="8">
        <v>4943</v>
      </c>
      <c r="G125" s="8">
        <v>2.4410117630791417</v>
      </c>
      <c r="J125" s="6">
        <v>44500</v>
      </c>
      <c r="K125" s="8">
        <v>15086.9</v>
      </c>
      <c r="L125" s="8">
        <v>-312.80000000000109</v>
      </c>
      <c r="M125" s="8">
        <v>-2.0312084001636466</v>
      </c>
      <c r="N125" s="8">
        <v>11420975754</v>
      </c>
      <c r="O125" s="8">
        <v>-3062961080</v>
      </c>
      <c r="P125" s="8">
        <v>-21.147296588658957</v>
      </c>
    </row>
    <row r="126" spans="1:16" x14ac:dyDescent="0.35">
      <c r="A126" s="6">
        <v>44493</v>
      </c>
      <c r="B126" s="8">
        <v>5153.75</v>
      </c>
      <c r="C126" s="8">
        <v>-383.85000000000036</v>
      </c>
      <c r="D126" s="8">
        <v>-6.9317032649523318</v>
      </c>
      <c r="E126" s="8">
        <v>202498</v>
      </c>
      <c r="F126" s="8">
        <v>119680</v>
      </c>
      <c r="G126" s="8">
        <v>144.50964766113646</v>
      </c>
      <c r="J126" s="6">
        <v>44493</v>
      </c>
      <c r="K126" s="8">
        <v>15399.7</v>
      </c>
      <c r="L126" s="8">
        <v>-369.54999999999927</v>
      </c>
      <c r="M126" s="8">
        <v>-2.3434849469695722</v>
      </c>
      <c r="N126" s="8">
        <v>14483936834</v>
      </c>
      <c r="O126" s="8">
        <v>3929193353</v>
      </c>
      <c r="P126" s="8">
        <v>37.226801012010306</v>
      </c>
    </row>
    <row r="127" spans="1:16" x14ac:dyDescent="0.35">
      <c r="A127" s="6">
        <v>44486</v>
      </c>
      <c r="B127" s="8">
        <v>5537.6</v>
      </c>
      <c r="C127" s="8">
        <v>-12.849999999999454</v>
      </c>
      <c r="D127" s="8">
        <v>-0.23151276022663847</v>
      </c>
      <c r="E127" s="8">
        <v>82818</v>
      </c>
      <c r="F127" s="8">
        <v>-82790</v>
      </c>
      <c r="G127" s="8">
        <v>-49.991546302111011</v>
      </c>
      <c r="J127" s="6">
        <v>44486</v>
      </c>
      <c r="K127" s="8">
        <v>15769.25</v>
      </c>
      <c r="L127" s="8">
        <v>404.04999999999927</v>
      </c>
      <c r="M127" s="8">
        <v>2.6296436102361129</v>
      </c>
      <c r="N127" s="8">
        <v>10554743481</v>
      </c>
      <c r="O127" s="8">
        <v>-598133065</v>
      </c>
      <c r="P127" s="8">
        <v>-5.3630385177581967</v>
      </c>
    </row>
    <row r="128" spans="1:16" x14ac:dyDescent="0.35">
      <c r="A128" s="6">
        <v>44479</v>
      </c>
      <c r="B128" s="8">
        <v>5550.45</v>
      </c>
      <c r="C128" s="8">
        <v>-19</v>
      </c>
      <c r="D128" s="8">
        <v>-0.34114679187352431</v>
      </c>
      <c r="E128" s="8">
        <v>165608</v>
      </c>
      <c r="F128" s="8">
        <v>10542</v>
      </c>
      <c r="G128" s="8">
        <v>6.7983955219068006</v>
      </c>
      <c r="J128" s="6">
        <v>44479</v>
      </c>
      <c r="K128" s="8">
        <v>15365.2</v>
      </c>
      <c r="L128" s="8">
        <v>351.25</v>
      </c>
      <c r="M128" s="8">
        <v>2.3394909400923805</v>
      </c>
      <c r="N128" s="8">
        <v>11152876546</v>
      </c>
      <c r="O128" s="8">
        <v>-1815897193</v>
      </c>
      <c r="P128" s="8">
        <v>-14.002073207115885</v>
      </c>
    </row>
    <row r="129" spans="1:16" x14ac:dyDescent="0.35">
      <c r="A129" s="6">
        <v>44472</v>
      </c>
      <c r="B129" s="8">
        <v>5569.45</v>
      </c>
      <c r="C129" s="8">
        <v>-139.19999999999982</v>
      </c>
      <c r="D129" s="8">
        <v>-2.4384048768097504</v>
      </c>
      <c r="E129" s="8">
        <v>155066</v>
      </c>
      <c r="F129" s="8">
        <v>-46643</v>
      </c>
      <c r="G129" s="8">
        <v>-23.123906221338661</v>
      </c>
      <c r="J129" s="6">
        <v>44472</v>
      </c>
      <c r="K129" s="8">
        <v>15013.95</v>
      </c>
      <c r="L129" s="8">
        <v>-178</v>
      </c>
      <c r="M129" s="8">
        <v>-1.1716731558489857</v>
      </c>
      <c r="N129" s="8">
        <v>12968773739</v>
      </c>
      <c r="O129" s="8">
        <v>1558242333</v>
      </c>
      <c r="P129" s="8">
        <v>13.656176715666628</v>
      </c>
    </row>
    <row r="130" spans="1:16" x14ac:dyDescent="0.35">
      <c r="A130" s="6">
        <v>44465</v>
      </c>
      <c r="B130" s="8">
        <v>5708.65</v>
      </c>
      <c r="C130" s="8">
        <v>-163.60000000000036</v>
      </c>
      <c r="D130" s="8">
        <v>-2.7859849291157626</v>
      </c>
      <c r="E130" s="8">
        <v>201709</v>
      </c>
      <c r="F130" s="8">
        <v>22379</v>
      </c>
      <c r="G130" s="8">
        <v>12.479228238443094</v>
      </c>
      <c r="J130" s="6">
        <v>44465</v>
      </c>
      <c r="K130" s="8">
        <v>15191.95</v>
      </c>
      <c r="L130" s="8">
        <v>164.70000000000073</v>
      </c>
      <c r="M130" s="8">
        <v>1.0960089171338783</v>
      </c>
      <c r="N130" s="8">
        <v>11410531406</v>
      </c>
      <c r="O130" s="8">
        <v>-5953150460</v>
      </c>
      <c r="P130" s="8">
        <v>-34.285069871367106</v>
      </c>
    </row>
    <row r="131" spans="1:16" x14ac:dyDescent="0.35">
      <c r="A131" s="6">
        <v>44458</v>
      </c>
      <c r="B131" s="8">
        <v>5872.25</v>
      </c>
      <c r="C131" s="8">
        <v>-230.5</v>
      </c>
      <c r="D131" s="8">
        <v>-3.7769857850968824</v>
      </c>
      <c r="E131" s="8">
        <v>179330</v>
      </c>
      <c r="F131" s="8">
        <v>-112743</v>
      </c>
      <c r="G131" s="8">
        <v>-38.600966196806965</v>
      </c>
      <c r="J131" s="6">
        <v>44458</v>
      </c>
      <c r="K131" s="8">
        <v>15027.25</v>
      </c>
      <c r="L131" s="8">
        <v>190.79999999999927</v>
      </c>
      <c r="M131" s="8">
        <v>1.2860219257302068</v>
      </c>
      <c r="N131" s="8">
        <v>17363681866</v>
      </c>
      <c r="O131" s="8">
        <v>8884406585</v>
      </c>
      <c r="P131" s="8">
        <v>104.77790012205172</v>
      </c>
    </row>
    <row r="132" spans="1:16" x14ac:dyDescent="0.35">
      <c r="A132" s="6">
        <v>44451</v>
      </c>
      <c r="B132" s="8">
        <v>6102.75</v>
      </c>
      <c r="C132" s="8">
        <v>68</v>
      </c>
      <c r="D132" s="8">
        <v>1.1268072413935954</v>
      </c>
      <c r="E132" s="8">
        <v>292073</v>
      </c>
      <c r="F132" s="8">
        <v>-85588</v>
      </c>
      <c r="G132" s="8">
        <v>-22.662652484635693</v>
      </c>
      <c r="J132" s="6">
        <v>44451</v>
      </c>
      <c r="K132" s="8">
        <v>14836.45</v>
      </c>
      <c r="L132" s="8">
        <v>77.150000000001455</v>
      </c>
      <c r="M132" s="8">
        <v>0.52272126726878276</v>
      </c>
      <c r="N132" s="8">
        <v>8479275281</v>
      </c>
      <c r="O132" s="8">
        <v>-1379913191</v>
      </c>
      <c r="P132" s="8">
        <v>-13.996214748495174</v>
      </c>
    </row>
    <row r="133" spans="1:16" x14ac:dyDescent="0.35">
      <c r="A133" s="6">
        <v>44444</v>
      </c>
      <c r="B133" s="8">
        <v>6034.75</v>
      </c>
      <c r="C133" s="8">
        <v>342.10000000000036</v>
      </c>
      <c r="D133" s="8">
        <v>6.0095034825608531</v>
      </c>
      <c r="E133" s="8">
        <v>377661</v>
      </c>
      <c r="F133" s="8">
        <v>103380</v>
      </c>
      <c r="G133" s="8">
        <v>37.691272818751571</v>
      </c>
      <c r="J133" s="6">
        <v>44444</v>
      </c>
      <c r="K133" s="8">
        <v>14759.3</v>
      </c>
      <c r="L133" s="8">
        <v>566.79999999999927</v>
      </c>
      <c r="M133" s="8">
        <v>3.9936586225118851</v>
      </c>
      <c r="N133" s="8">
        <v>9859188472</v>
      </c>
      <c r="O133" s="8">
        <v>2022622962</v>
      </c>
      <c r="P133" s="8">
        <v>25.810068957108736</v>
      </c>
    </row>
    <row r="134" spans="1:16" x14ac:dyDescent="0.35">
      <c r="A134" s="6">
        <v>44437</v>
      </c>
      <c r="B134" s="8">
        <v>5692.65</v>
      </c>
      <c r="C134" s="8">
        <v>-131.90000000000055</v>
      </c>
      <c r="D134" s="8">
        <v>-2.2645526263831632</v>
      </c>
      <c r="E134" s="8">
        <v>274281</v>
      </c>
      <c r="F134" s="8">
        <v>32720</v>
      </c>
      <c r="G134" s="8">
        <v>13.545232881135615</v>
      </c>
      <c r="J134" s="6">
        <v>44437</v>
      </c>
      <c r="K134" s="8">
        <v>14192.5</v>
      </c>
      <c r="L134" s="8">
        <v>248.54999999999927</v>
      </c>
      <c r="M134" s="8">
        <v>1.782493482836637</v>
      </c>
      <c r="N134" s="8">
        <v>7836565510</v>
      </c>
      <c r="O134" s="8">
        <v>1314016213</v>
      </c>
      <c r="P134" s="8">
        <v>20.145745983159873</v>
      </c>
    </row>
    <row r="135" spans="1:16" x14ac:dyDescent="0.35">
      <c r="A135" s="6">
        <v>44430</v>
      </c>
      <c r="B135" s="8">
        <v>5824.55</v>
      </c>
      <c r="C135" s="8">
        <v>71.650000000000546</v>
      </c>
      <c r="D135" s="8">
        <v>1.2454588120773966</v>
      </c>
      <c r="E135" s="8">
        <v>241561</v>
      </c>
      <c r="F135" s="8">
        <v>-122867</v>
      </c>
      <c r="G135" s="8">
        <v>-33.715027385382022</v>
      </c>
      <c r="J135" s="6">
        <v>44430</v>
      </c>
      <c r="K135" s="8">
        <v>13943.95</v>
      </c>
      <c r="L135" s="8">
        <v>-121.34999999999854</v>
      </c>
      <c r="M135" s="8">
        <v>-0.86276154792289217</v>
      </c>
      <c r="N135" s="8">
        <v>6522549297</v>
      </c>
      <c r="O135" s="8">
        <v>-2791116184</v>
      </c>
      <c r="P135" s="8">
        <v>-29.967966851439037</v>
      </c>
    </row>
    <row r="136" spans="1:16" x14ac:dyDescent="0.35">
      <c r="A136" s="6">
        <v>44423</v>
      </c>
      <c r="B136" s="8">
        <v>5752.9</v>
      </c>
      <c r="C136" s="8">
        <v>-54.350000000000364</v>
      </c>
      <c r="D136" s="8">
        <v>-0.93589909165268181</v>
      </c>
      <c r="E136" s="8">
        <v>364428</v>
      </c>
      <c r="F136" s="8">
        <v>135100</v>
      </c>
      <c r="G136" s="8">
        <v>58.911253750087212</v>
      </c>
      <c r="J136" s="6">
        <v>44423</v>
      </c>
      <c r="K136" s="8">
        <v>14065.3</v>
      </c>
      <c r="L136" s="8">
        <v>110.64999999999964</v>
      </c>
      <c r="M136" s="8">
        <v>0.79292565560583494</v>
      </c>
      <c r="N136" s="8">
        <v>9313665481</v>
      </c>
      <c r="O136" s="8">
        <v>-4959204845</v>
      </c>
      <c r="P136" s="8">
        <v>-34.745672956659078</v>
      </c>
    </row>
    <row r="137" spans="1:16" x14ac:dyDescent="0.35">
      <c r="A137" s="6">
        <v>44416</v>
      </c>
      <c r="B137" s="8">
        <v>5807.25</v>
      </c>
      <c r="C137" s="8">
        <v>-66.800000000000182</v>
      </c>
      <c r="D137" s="8">
        <v>-1.1372051650905284</v>
      </c>
      <c r="E137" s="8">
        <v>229328</v>
      </c>
      <c r="F137" s="8">
        <v>-1227864</v>
      </c>
      <c r="G137" s="8">
        <v>-84.262334682046017</v>
      </c>
      <c r="J137" s="6">
        <v>44416</v>
      </c>
      <c r="K137" s="8">
        <v>13954.65</v>
      </c>
      <c r="L137" s="8">
        <v>290.39999999999964</v>
      </c>
      <c r="M137" s="8">
        <v>2.125253855864754</v>
      </c>
      <c r="N137" s="8">
        <v>14272870326</v>
      </c>
      <c r="O137" s="8">
        <v>4354125409</v>
      </c>
      <c r="P137" s="8">
        <v>43.897947224525844</v>
      </c>
    </row>
    <row r="138" spans="1:16" x14ac:dyDescent="0.35">
      <c r="A138" s="6">
        <v>44409</v>
      </c>
      <c r="B138" s="8">
        <v>5874.05</v>
      </c>
      <c r="C138" s="8">
        <v>248.69999999999982</v>
      </c>
      <c r="D138" s="8">
        <v>4.4210582452647351</v>
      </c>
      <c r="E138" s="8">
        <v>1457192</v>
      </c>
      <c r="F138" s="8">
        <v>1229015</v>
      </c>
      <c r="G138" s="8">
        <v>538.62352471984468</v>
      </c>
      <c r="J138" s="6">
        <v>44409</v>
      </c>
      <c r="K138" s="8">
        <v>13664.25</v>
      </c>
      <c r="L138" s="8">
        <v>-22.75</v>
      </c>
      <c r="M138" s="8">
        <v>-0.16621611748374371</v>
      </c>
      <c r="N138" s="8">
        <v>9918744917</v>
      </c>
      <c r="O138" s="8">
        <v>994279598</v>
      </c>
      <c r="P138" s="8">
        <v>11.141055093611037</v>
      </c>
    </row>
    <row r="139" spans="1:16" x14ac:dyDescent="0.35">
      <c r="A139" s="6">
        <v>44402</v>
      </c>
      <c r="B139" s="8">
        <v>5625.35</v>
      </c>
      <c r="C139" s="8">
        <v>-47.699999999999818</v>
      </c>
      <c r="D139" s="8">
        <v>-0.84081754964260524</v>
      </c>
      <c r="E139" s="8">
        <v>228177</v>
      </c>
      <c r="F139" s="8">
        <v>-12896</v>
      </c>
      <c r="G139" s="8">
        <v>-5.3494169815781945</v>
      </c>
      <c r="J139" s="6">
        <v>44402</v>
      </c>
      <c r="K139" s="8">
        <v>13687</v>
      </c>
      <c r="L139" s="8">
        <v>-55.350000000000364</v>
      </c>
      <c r="M139" s="8">
        <v>-0.40276954087183314</v>
      </c>
      <c r="N139" s="8">
        <v>8924465319</v>
      </c>
      <c r="O139" s="8">
        <v>522646303</v>
      </c>
      <c r="P139" s="8">
        <v>6.2206327225651821</v>
      </c>
    </row>
    <row r="140" spans="1:16" x14ac:dyDescent="0.35">
      <c r="A140" s="6">
        <v>44395</v>
      </c>
      <c r="B140" s="8">
        <v>5673.05</v>
      </c>
      <c r="C140" s="8">
        <v>-46.899999999999636</v>
      </c>
      <c r="D140" s="8">
        <v>-0.81993723721360567</v>
      </c>
      <c r="E140" s="8">
        <v>241073</v>
      </c>
      <c r="F140" s="8">
        <v>-36034</v>
      </c>
      <c r="G140" s="8">
        <v>-13.003641192752259</v>
      </c>
      <c r="J140" s="6">
        <v>44395</v>
      </c>
      <c r="K140" s="8">
        <v>13742.35</v>
      </c>
      <c r="L140" s="8">
        <v>214.39999999999964</v>
      </c>
      <c r="M140" s="8">
        <v>1.5848668867049303</v>
      </c>
      <c r="N140" s="8">
        <v>8401819016</v>
      </c>
      <c r="O140" s="8">
        <v>-1039459941</v>
      </c>
      <c r="P140" s="8">
        <v>-11.009736559360091</v>
      </c>
    </row>
    <row r="141" spans="1:16" x14ac:dyDescent="0.35">
      <c r="A141" s="6">
        <v>44388</v>
      </c>
      <c r="B141" s="8">
        <v>5719.95</v>
      </c>
      <c r="C141" s="8">
        <v>-0.3000000000001819</v>
      </c>
      <c r="D141" s="8">
        <v>-5.2445260259635839E-3</v>
      </c>
      <c r="E141" s="8">
        <v>277107</v>
      </c>
      <c r="F141" s="8">
        <v>-214620</v>
      </c>
      <c r="G141" s="8">
        <v>-43.646169520892691</v>
      </c>
      <c r="J141" s="6">
        <v>44388</v>
      </c>
      <c r="K141" s="8">
        <v>13527.95</v>
      </c>
      <c r="L141" s="8">
        <v>33.5</v>
      </c>
      <c r="M141" s="8">
        <v>0.2482502065664032</v>
      </c>
      <c r="N141" s="8">
        <v>9441278957</v>
      </c>
      <c r="O141" s="8">
        <v>-1056019077</v>
      </c>
      <c r="P141" s="8">
        <v>-10.059913261294758</v>
      </c>
    </row>
    <row r="142" spans="1:16" x14ac:dyDescent="0.35">
      <c r="A142" s="6">
        <v>44381</v>
      </c>
      <c r="B142" s="8">
        <v>5720.25</v>
      </c>
      <c r="C142" s="8">
        <v>174.89999999999964</v>
      </c>
      <c r="D142" s="8">
        <v>3.1539938867699897</v>
      </c>
      <c r="E142" s="8">
        <v>491727</v>
      </c>
      <c r="F142" s="8">
        <v>34574</v>
      </c>
      <c r="G142" s="8">
        <v>7.5628946982738823</v>
      </c>
      <c r="J142" s="6">
        <v>44381</v>
      </c>
      <c r="K142" s="8">
        <v>13494.45</v>
      </c>
      <c r="L142" s="8">
        <v>-44.949999999998909</v>
      </c>
      <c r="M142" s="8">
        <v>-0.33199403223184859</v>
      </c>
      <c r="N142" s="8">
        <v>10497298034</v>
      </c>
      <c r="O142" s="8">
        <v>-1649274007</v>
      </c>
      <c r="P142" s="8">
        <v>-13.578102541465839</v>
      </c>
    </row>
    <row r="143" spans="1:16" x14ac:dyDescent="0.35">
      <c r="A143" s="6">
        <v>44374</v>
      </c>
      <c r="B143" s="8">
        <v>5545.35</v>
      </c>
      <c r="C143" s="8">
        <v>142.10000000000036</v>
      </c>
      <c r="D143" s="8">
        <v>2.6298986720955049</v>
      </c>
      <c r="E143" s="8">
        <v>457153</v>
      </c>
      <c r="F143" s="8">
        <v>128254</v>
      </c>
      <c r="G143" s="8">
        <v>38.994949817421151</v>
      </c>
      <c r="J143" s="6">
        <v>44374</v>
      </c>
      <c r="K143" s="8">
        <v>13539.4</v>
      </c>
      <c r="L143" s="8">
        <v>152.85000000000036</v>
      </c>
      <c r="M143" s="8">
        <v>1.1418177200249533</v>
      </c>
      <c r="N143" s="8">
        <v>12146572041</v>
      </c>
      <c r="O143" s="8">
        <v>-1217690542</v>
      </c>
      <c r="P143" s="8">
        <v>-9.111543075702226</v>
      </c>
    </row>
    <row r="144" spans="1:16" x14ac:dyDescent="0.35">
      <c r="A144" s="6">
        <v>44367</v>
      </c>
      <c r="B144" s="8">
        <v>5403.25</v>
      </c>
      <c r="C144" s="8">
        <v>-135.05000000000018</v>
      </c>
      <c r="D144" s="8">
        <v>-2.4384738999331956</v>
      </c>
      <c r="E144" s="8">
        <v>328899</v>
      </c>
      <c r="F144" s="8">
        <v>-647439</v>
      </c>
      <c r="G144" s="8">
        <v>-66.312998162521581</v>
      </c>
      <c r="J144" s="6">
        <v>44367</v>
      </c>
      <c r="K144" s="8">
        <v>13386.55</v>
      </c>
      <c r="L144" s="8">
        <v>-177.30000000000109</v>
      </c>
      <c r="M144" s="8">
        <v>-1.3071509932651946</v>
      </c>
      <c r="N144" s="8">
        <v>13364262583</v>
      </c>
      <c r="O144" s="8">
        <v>-1386941889</v>
      </c>
      <c r="P144" s="8">
        <v>-9.4022280799688183</v>
      </c>
    </row>
    <row r="145" spans="1:16" x14ac:dyDescent="0.35">
      <c r="A145" s="6">
        <v>44360</v>
      </c>
      <c r="B145" s="8">
        <v>5538.3</v>
      </c>
      <c r="C145" s="8">
        <v>349.10000000000036</v>
      </c>
      <c r="D145" s="8">
        <v>6.7274339011793796</v>
      </c>
      <c r="E145" s="8">
        <v>976338</v>
      </c>
      <c r="F145" s="8">
        <v>719280</v>
      </c>
      <c r="G145" s="8">
        <v>279.8123380715636</v>
      </c>
      <c r="J145" s="6">
        <v>44360</v>
      </c>
      <c r="K145" s="8">
        <v>13563.85</v>
      </c>
      <c r="L145" s="8">
        <v>169.95000000000073</v>
      </c>
      <c r="M145" s="8">
        <v>1.268861198008054</v>
      </c>
      <c r="N145" s="8">
        <v>14751204472</v>
      </c>
      <c r="O145" s="8">
        <v>1977062724</v>
      </c>
      <c r="P145" s="8">
        <v>15.47706893349247</v>
      </c>
    </row>
    <row r="146" spans="1:16" x14ac:dyDescent="0.35">
      <c r="A146" s="6">
        <v>44353</v>
      </c>
      <c r="B146" s="8">
        <v>5189.2</v>
      </c>
      <c r="C146" s="8">
        <v>57.849999999999454</v>
      </c>
      <c r="D146" s="8">
        <v>1.1273836319876729</v>
      </c>
      <c r="E146" s="8">
        <v>257058</v>
      </c>
      <c r="F146" s="8">
        <v>-201814</v>
      </c>
      <c r="G146" s="8">
        <v>-43.98045642357782</v>
      </c>
      <c r="J146" s="6">
        <v>44353</v>
      </c>
      <c r="K146" s="8">
        <v>13393.9</v>
      </c>
      <c r="L146" s="8">
        <v>276.85000000000036</v>
      </c>
      <c r="M146" s="8">
        <v>2.1106117610285877</v>
      </c>
      <c r="N146" s="8">
        <v>12774141748</v>
      </c>
      <c r="O146" s="8">
        <v>-951265584</v>
      </c>
      <c r="P146" s="8">
        <v>-6.9306910971026623</v>
      </c>
    </row>
    <row r="147" spans="1:16" x14ac:dyDescent="0.35">
      <c r="A147" s="6">
        <v>44346</v>
      </c>
      <c r="B147" s="8">
        <v>5131.3500000000004</v>
      </c>
      <c r="C147" s="8">
        <v>-102</v>
      </c>
      <c r="D147" s="8">
        <v>-1.9490383788586658</v>
      </c>
      <c r="E147" s="8">
        <v>458872</v>
      </c>
      <c r="F147" s="8">
        <v>153658</v>
      </c>
      <c r="G147" s="8">
        <v>50.344348555439787</v>
      </c>
      <c r="J147" s="6">
        <v>44346</v>
      </c>
      <c r="K147" s="8">
        <v>13117.05</v>
      </c>
      <c r="L147" s="8">
        <v>199.19999999999891</v>
      </c>
      <c r="M147" s="8">
        <v>1.542052276501112</v>
      </c>
      <c r="N147" s="8">
        <v>13725407332</v>
      </c>
      <c r="O147" s="8">
        <v>1389228954</v>
      </c>
      <c r="P147" s="8">
        <v>11.261420769316311</v>
      </c>
    </row>
    <row r="148" spans="1:16" x14ac:dyDescent="0.35">
      <c r="A148" s="6">
        <v>44339</v>
      </c>
      <c r="B148" s="8">
        <v>5233.3500000000004</v>
      </c>
      <c r="C148" s="8">
        <v>-42.549999999999272</v>
      </c>
      <c r="D148" s="8">
        <v>-0.80649746962602165</v>
      </c>
      <c r="E148" s="8">
        <v>305214</v>
      </c>
      <c r="F148" s="8">
        <v>-56726</v>
      </c>
      <c r="G148" s="8">
        <v>-15.672763441454384</v>
      </c>
      <c r="J148" s="6">
        <v>44339</v>
      </c>
      <c r="K148" s="8">
        <v>12917.85</v>
      </c>
      <c r="L148" s="8">
        <v>445.70000000000073</v>
      </c>
      <c r="M148" s="8">
        <v>3.57356189590408</v>
      </c>
      <c r="N148" s="8">
        <v>12336178378</v>
      </c>
      <c r="O148" s="8">
        <v>-1029015245</v>
      </c>
      <c r="P148" s="8">
        <v>-7.6992168914723402</v>
      </c>
    </row>
    <row r="149" spans="1:16" x14ac:dyDescent="0.35">
      <c r="A149" s="6">
        <v>44332</v>
      </c>
      <c r="B149" s="8">
        <v>5275.9</v>
      </c>
      <c r="C149" s="8">
        <v>-62.75</v>
      </c>
      <c r="D149" s="8">
        <v>-1.1753907823138809</v>
      </c>
      <c r="E149" s="8">
        <v>361940</v>
      </c>
      <c r="F149" s="8">
        <v>-575750</v>
      </c>
      <c r="G149" s="8">
        <v>-61.400889419744267</v>
      </c>
      <c r="J149" s="6">
        <v>44332</v>
      </c>
      <c r="K149" s="8">
        <v>12472.15</v>
      </c>
      <c r="L149" s="8">
        <v>-90.950000000000728</v>
      </c>
      <c r="M149" s="8">
        <v>-0.72394552299990234</v>
      </c>
      <c r="N149" s="8">
        <v>13365193623</v>
      </c>
      <c r="O149" s="8">
        <v>1279386735</v>
      </c>
      <c r="P149" s="8">
        <v>10.585861141553597</v>
      </c>
    </row>
    <row r="150" spans="1:16" x14ac:dyDescent="0.35">
      <c r="A150" s="6">
        <v>44325</v>
      </c>
      <c r="B150" s="8">
        <v>5338.65</v>
      </c>
      <c r="C150" s="8">
        <v>65.149999999999636</v>
      </c>
      <c r="D150" s="8">
        <v>1.2354223949938301</v>
      </c>
      <c r="E150" s="8">
        <v>937690</v>
      </c>
      <c r="F150" s="8">
        <v>251130</v>
      </c>
      <c r="G150" s="8">
        <v>36.578012118387321</v>
      </c>
      <c r="J150" s="6">
        <v>44325</v>
      </c>
      <c r="K150" s="8">
        <v>12563.1</v>
      </c>
      <c r="L150" s="8">
        <v>198.75</v>
      </c>
      <c r="M150" s="8">
        <v>1.6074439820936806</v>
      </c>
      <c r="N150" s="8">
        <v>12085806888</v>
      </c>
      <c r="O150" s="8">
        <v>2148669179</v>
      </c>
      <c r="P150" s="8">
        <v>21.62261651113041</v>
      </c>
    </row>
    <row r="151" spans="1:16" x14ac:dyDescent="0.35">
      <c r="A151" s="6">
        <v>44318</v>
      </c>
      <c r="B151" s="8">
        <v>5273.5</v>
      </c>
      <c r="C151" s="8">
        <v>97.800000000000182</v>
      </c>
      <c r="D151" s="8">
        <v>1.8895994744672253</v>
      </c>
      <c r="E151" s="8">
        <v>686560</v>
      </c>
      <c r="F151" s="8">
        <v>-1228603</v>
      </c>
      <c r="G151" s="8">
        <v>-64.151354218935936</v>
      </c>
      <c r="J151" s="6">
        <v>44318</v>
      </c>
      <c r="K151" s="8">
        <v>12364.35</v>
      </c>
      <c r="L151" s="8">
        <v>258.75</v>
      </c>
      <c r="M151" s="8">
        <v>2.1374405233941314</v>
      </c>
      <c r="N151" s="8">
        <v>9937137709</v>
      </c>
      <c r="O151" s="8">
        <v>2367315195</v>
      </c>
      <c r="P151" s="8">
        <v>31.273060770206587</v>
      </c>
    </row>
    <row r="152" spans="1:16" x14ac:dyDescent="0.35">
      <c r="A152" s="6">
        <v>44311</v>
      </c>
      <c r="B152" s="8">
        <v>5175.7</v>
      </c>
      <c r="C152" s="8">
        <v>-42.850000000000364</v>
      </c>
      <c r="D152" s="8">
        <v>-0.82110931197363946</v>
      </c>
      <c r="E152" s="8">
        <v>1915163</v>
      </c>
      <c r="F152" s="8">
        <v>602300</v>
      </c>
      <c r="G152" s="8">
        <v>45.876835587567022</v>
      </c>
      <c r="J152" s="6">
        <v>44311</v>
      </c>
      <c r="K152" s="8">
        <v>12105.6</v>
      </c>
      <c r="L152" s="8">
        <v>-192.44999999999891</v>
      </c>
      <c r="M152" s="8">
        <v>-1.5648822374278761</v>
      </c>
      <c r="N152" s="8">
        <v>7569822514</v>
      </c>
      <c r="O152" s="8">
        <v>-1376532769</v>
      </c>
      <c r="P152" s="8">
        <v>-15.386520269496881</v>
      </c>
    </row>
    <row r="153" spans="1:16" x14ac:dyDescent="0.35">
      <c r="A153" s="6">
        <v>44304</v>
      </c>
      <c r="B153" s="8">
        <v>5218.55</v>
      </c>
      <c r="C153" s="8">
        <v>416.5</v>
      </c>
      <c r="D153" s="8">
        <v>8.6733790776855706</v>
      </c>
      <c r="E153" s="8">
        <v>1312863</v>
      </c>
      <c r="F153" s="8">
        <v>1071362</v>
      </c>
      <c r="G153" s="8">
        <v>443.6263203879073</v>
      </c>
      <c r="J153" s="6">
        <v>44304</v>
      </c>
      <c r="K153" s="8">
        <v>12298.05</v>
      </c>
      <c r="L153" s="8">
        <v>-229.35000000000036</v>
      </c>
      <c r="M153" s="8">
        <v>-1.830786915082143</v>
      </c>
      <c r="N153" s="8">
        <v>8946355283</v>
      </c>
      <c r="O153" s="8">
        <v>-1121869018</v>
      </c>
      <c r="P153" s="8">
        <v>-11.142670092168817</v>
      </c>
    </row>
    <row r="154" spans="1:16" x14ac:dyDescent="0.35">
      <c r="A154" s="6">
        <v>44297</v>
      </c>
      <c r="B154" s="8">
        <v>4802.05</v>
      </c>
      <c r="C154" s="8">
        <v>250.55000000000018</v>
      </c>
      <c r="D154" s="8">
        <v>5.5047786444029478</v>
      </c>
      <c r="E154" s="8">
        <v>241501</v>
      </c>
      <c r="F154" s="8">
        <v>82003</v>
      </c>
      <c r="G154" s="8">
        <v>51.413183864374474</v>
      </c>
      <c r="J154" s="6">
        <v>44297</v>
      </c>
      <c r="K154" s="8">
        <v>12527.4</v>
      </c>
      <c r="L154" s="8">
        <v>48.399999999999636</v>
      </c>
      <c r="M154" s="8">
        <v>0.38785159067232661</v>
      </c>
      <c r="N154" s="8">
        <v>10068224301</v>
      </c>
      <c r="O154" s="8">
        <v>3701324374</v>
      </c>
      <c r="P154" s="8">
        <v>58.13385503836583</v>
      </c>
    </row>
    <row r="155" spans="1:16" x14ac:dyDescent="0.35">
      <c r="A155" s="6">
        <v>44290</v>
      </c>
      <c r="B155" s="8">
        <v>4551.5</v>
      </c>
      <c r="C155" s="8">
        <v>181.64999999999964</v>
      </c>
      <c r="D155" s="8">
        <v>4.1568932572056161</v>
      </c>
      <c r="E155" s="8">
        <v>159498</v>
      </c>
      <c r="F155" s="8">
        <v>-81401</v>
      </c>
      <c r="G155" s="8">
        <v>-33.790509715689979</v>
      </c>
      <c r="J155" s="6">
        <v>44290</v>
      </c>
      <c r="K155" s="8">
        <v>12479</v>
      </c>
      <c r="L155" s="8">
        <v>330.10000000000036</v>
      </c>
      <c r="M155" s="8">
        <v>2.7171184222439924</v>
      </c>
      <c r="N155" s="8">
        <v>6366899927</v>
      </c>
      <c r="O155" s="8">
        <v>-4291710802</v>
      </c>
      <c r="P155" s="8">
        <v>-40.265198824862722</v>
      </c>
    </row>
    <row r="156" spans="1:16" x14ac:dyDescent="0.35">
      <c r="A156" s="6">
        <v>44283</v>
      </c>
      <c r="B156" s="8">
        <v>4369.8500000000004</v>
      </c>
      <c r="C156" s="8">
        <v>-24.549999999999272</v>
      </c>
      <c r="D156" s="8">
        <v>-0.5586655743673602</v>
      </c>
      <c r="E156" s="8">
        <v>240899</v>
      </c>
      <c r="F156" s="8">
        <v>26784</v>
      </c>
      <c r="G156" s="8">
        <v>12.509165635289447</v>
      </c>
      <c r="J156" s="6">
        <v>44283</v>
      </c>
      <c r="K156" s="8">
        <v>12148.9</v>
      </c>
      <c r="L156" s="8">
        <v>-165.60000000000036</v>
      </c>
      <c r="M156" s="8">
        <v>-1.3447561817369797</v>
      </c>
      <c r="N156" s="8">
        <v>10658610729</v>
      </c>
      <c r="O156" s="8">
        <v>-639172182</v>
      </c>
      <c r="P156" s="8">
        <v>-5.6575010073673386</v>
      </c>
    </row>
    <row r="157" spans="1:16" x14ac:dyDescent="0.35">
      <c r="A157" s="6">
        <v>44276</v>
      </c>
      <c r="B157" s="8">
        <v>4394.3999999999996</v>
      </c>
      <c r="C157" s="8">
        <v>-257.45000000000073</v>
      </c>
      <c r="D157" s="8">
        <v>-5.5343572987091312</v>
      </c>
      <c r="E157" s="8">
        <v>214115</v>
      </c>
      <c r="F157" s="8">
        <v>-98137</v>
      </c>
      <c r="G157" s="8">
        <v>-31.428781881300999</v>
      </c>
      <c r="J157" s="6">
        <v>44276</v>
      </c>
      <c r="K157" s="8">
        <v>12314.5</v>
      </c>
      <c r="L157" s="8">
        <v>-279.39999999999964</v>
      </c>
      <c r="M157" s="8">
        <v>-2.2185343698139546</v>
      </c>
      <c r="N157" s="8">
        <v>11297782911</v>
      </c>
      <c r="O157" s="8">
        <v>2790208458</v>
      </c>
      <c r="P157" s="8">
        <v>32.796756271890132</v>
      </c>
    </row>
    <row r="158" spans="1:16" x14ac:dyDescent="0.35">
      <c r="A158" s="6">
        <v>44269</v>
      </c>
      <c r="B158" s="8">
        <v>4651.8500000000004</v>
      </c>
      <c r="C158" s="8">
        <v>17.100000000000364</v>
      </c>
      <c r="D158" s="8">
        <v>0.36895193915530211</v>
      </c>
      <c r="E158" s="8">
        <v>312252</v>
      </c>
      <c r="F158" s="8">
        <v>64714</v>
      </c>
      <c r="G158" s="8">
        <v>26.143056823598801</v>
      </c>
      <c r="J158" s="6">
        <v>44269</v>
      </c>
      <c r="K158" s="8">
        <v>12593.9</v>
      </c>
      <c r="L158" s="8">
        <v>54.899999999999636</v>
      </c>
      <c r="M158" s="8">
        <v>0.43783395805087832</v>
      </c>
      <c r="N158" s="8">
        <v>8507574453</v>
      </c>
      <c r="O158" s="8">
        <v>-6198608737</v>
      </c>
      <c r="P158" s="8">
        <v>-42.149677159026332</v>
      </c>
    </row>
    <row r="159" spans="1:16" x14ac:dyDescent="0.35">
      <c r="A159" s="6">
        <v>44262</v>
      </c>
      <c r="B159" s="8">
        <v>4634.75</v>
      </c>
      <c r="C159" s="8">
        <v>83</v>
      </c>
      <c r="D159" s="8">
        <v>1.8234744878343494</v>
      </c>
      <c r="E159" s="8">
        <v>247538</v>
      </c>
      <c r="F159" s="8">
        <v>-57252</v>
      </c>
      <c r="G159" s="8">
        <v>-18.784080842547329</v>
      </c>
      <c r="J159" s="6">
        <v>44262</v>
      </c>
      <c r="K159" s="8">
        <v>12539</v>
      </c>
      <c r="L159" s="8">
        <v>357.60000000000036</v>
      </c>
      <c r="M159" s="8">
        <v>2.9356231631832168</v>
      </c>
      <c r="N159" s="8">
        <v>14706183190</v>
      </c>
      <c r="O159" s="8">
        <v>-67607887</v>
      </c>
      <c r="P159" s="8">
        <v>-0.45762043505036903</v>
      </c>
    </row>
    <row r="160" spans="1:16" x14ac:dyDescent="0.35">
      <c r="A160" s="6">
        <v>44255</v>
      </c>
      <c r="B160" s="8">
        <v>4551.75</v>
      </c>
      <c r="C160" s="8">
        <v>27.25</v>
      </c>
      <c r="D160" s="8">
        <v>0.60227649464029176</v>
      </c>
      <c r="E160" s="8">
        <v>304790</v>
      </c>
      <c r="F160" s="8">
        <v>30302</v>
      </c>
      <c r="G160" s="8">
        <v>11.039462563026435</v>
      </c>
      <c r="J160" s="6">
        <v>44255</v>
      </c>
      <c r="K160" s="8">
        <v>12181.4</v>
      </c>
      <c r="L160" s="8">
        <v>-257.39999999999964</v>
      </c>
      <c r="M160" s="8">
        <v>-2.0693314467633508</v>
      </c>
      <c r="N160" s="8">
        <v>14773791077</v>
      </c>
      <c r="O160" s="8">
        <v>-1616552329</v>
      </c>
      <c r="P160" s="8">
        <v>-9.8628337976630185</v>
      </c>
    </row>
    <row r="161" spans="1:16" x14ac:dyDescent="0.35">
      <c r="A161" s="6">
        <v>44248</v>
      </c>
      <c r="B161" s="8">
        <v>4524.5</v>
      </c>
      <c r="C161" s="8">
        <v>110.19999999999982</v>
      </c>
      <c r="D161" s="8">
        <v>2.4964320503817099</v>
      </c>
      <c r="E161" s="8">
        <v>274488</v>
      </c>
      <c r="F161" s="8">
        <v>28433</v>
      </c>
      <c r="G161" s="8">
        <v>11.555546524151104</v>
      </c>
      <c r="J161" s="6">
        <v>44248</v>
      </c>
      <c r="K161" s="8">
        <v>12438.8</v>
      </c>
      <c r="L161" s="8">
        <v>-69.75</v>
      </c>
      <c r="M161" s="8">
        <v>-0.55761858888520255</v>
      </c>
      <c r="N161" s="8">
        <v>16390343406</v>
      </c>
      <c r="O161" s="8">
        <v>3724287867</v>
      </c>
      <c r="P161" s="8">
        <v>29.403691271781973</v>
      </c>
    </row>
    <row r="162" spans="1:16" x14ac:dyDescent="0.35">
      <c r="A162" s="6">
        <v>44241</v>
      </c>
      <c r="B162" s="8">
        <v>4414.3</v>
      </c>
      <c r="C162" s="8">
        <v>-98.149999999999636</v>
      </c>
      <c r="D162" s="8">
        <v>-2.1750933528349266</v>
      </c>
      <c r="E162" s="8">
        <v>246055</v>
      </c>
      <c r="F162" s="8">
        <v>-176685</v>
      </c>
      <c r="G162" s="8">
        <v>-41.795193262998531</v>
      </c>
      <c r="J162" s="6">
        <v>44241</v>
      </c>
      <c r="K162" s="8">
        <v>12508.55</v>
      </c>
      <c r="L162" s="8">
        <v>228.69999999999891</v>
      </c>
      <c r="M162" s="8">
        <v>1.8624005993558463</v>
      </c>
      <c r="N162" s="8">
        <v>12666055539</v>
      </c>
      <c r="O162" s="8">
        <v>-3658721628</v>
      </c>
      <c r="P162" s="8">
        <v>-22.412076995427451</v>
      </c>
    </row>
    <row r="163" spans="1:16" x14ac:dyDescent="0.35">
      <c r="A163" s="6">
        <v>44234</v>
      </c>
      <c r="B163" s="8">
        <v>4512.45</v>
      </c>
      <c r="C163" s="8">
        <v>-124.65000000000055</v>
      </c>
      <c r="D163" s="8">
        <v>-2.6881024778417659</v>
      </c>
      <c r="E163" s="8">
        <v>422740</v>
      </c>
      <c r="F163" s="8">
        <v>210206</v>
      </c>
      <c r="G163" s="8">
        <v>98.904645844900116</v>
      </c>
      <c r="J163" s="6">
        <v>44234</v>
      </c>
      <c r="K163" s="8">
        <v>12279.85</v>
      </c>
      <c r="L163" s="8">
        <v>977.45000000000073</v>
      </c>
      <c r="M163" s="8">
        <v>8.6481632219705613</v>
      </c>
      <c r="N163" s="8">
        <v>16324777167</v>
      </c>
      <c r="O163" s="8">
        <v>5329384973</v>
      </c>
      <c r="P163" s="8">
        <v>48.469257657841034</v>
      </c>
    </row>
    <row r="164" spans="1:16" x14ac:dyDescent="0.35">
      <c r="A164" s="6">
        <v>44227</v>
      </c>
      <c r="B164" s="8">
        <v>4637.1000000000004</v>
      </c>
      <c r="C164" s="8">
        <v>-181.29999999999927</v>
      </c>
      <c r="D164" s="8">
        <v>-3.7626598040843287</v>
      </c>
      <c r="E164" s="8">
        <v>212534</v>
      </c>
      <c r="F164" s="8">
        <v>-108864</v>
      </c>
      <c r="G164" s="8">
        <v>-33.872021605610492</v>
      </c>
      <c r="J164" s="6">
        <v>44227</v>
      </c>
      <c r="K164" s="8">
        <v>11302.4</v>
      </c>
      <c r="L164" s="8">
        <v>-552.10000000000036</v>
      </c>
      <c r="M164" s="8">
        <v>-4.6573031338310376</v>
      </c>
      <c r="N164" s="8">
        <v>10995392194</v>
      </c>
      <c r="O164" s="8">
        <v>-2233427826</v>
      </c>
      <c r="P164" s="8">
        <v>-16.88304642911001</v>
      </c>
    </row>
    <row r="165" spans="1:16" x14ac:dyDescent="0.35">
      <c r="A165" s="6">
        <v>44220</v>
      </c>
      <c r="B165" s="8">
        <v>4818.3999999999996</v>
      </c>
      <c r="C165" s="8">
        <v>-300.10000000000036</v>
      </c>
      <c r="D165" s="8">
        <v>-5.863045814203387</v>
      </c>
      <c r="E165" s="8">
        <v>321398</v>
      </c>
      <c r="F165" s="8">
        <v>52800</v>
      </c>
      <c r="G165" s="8">
        <v>19.657629617495289</v>
      </c>
      <c r="J165" s="6">
        <v>44220</v>
      </c>
      <c r="K165" s="8">
        <v>11854.5</v>
      </c>
      <c r="L165" s="8">
        <v>-76.700000000000728</v>
      </c>
      <c r="M165" s="8">
        <v>-0.642852353493368</v>
      </c>
      <c r="N165" s="8">
        <v>13228820020</v>
      </c>
      <c r="O165" s="8">
        <v>-2907848242</v>
      </c>
      <c r="P165" s="8">
        <v>-18.020127790862805</v>
      </c>
    </row>
    <row r="166" spans="1:16" x14ac:dyDescent="0.35">
      <c r="A166" s="6">
        <v>44213</v>
      </c>
      <c r="B166" s="8">
        <v>5118.5</v>
      </c>
      <c r="C166" s="8">
        <v>-11.5</v>
      </c>
      <c r="D166" s="8">
        <v>-0.22417153996101363</v>
      </c>
      <c r="E166" s="8">
        <v>268598</v>
      </c>
      <c r="F166" s="8">
        <v>-235116</v>
      </c>
      <c r="G166" s="8">
        <v>-46.67648705416169</v>
      </c>
      <c r="J166" s="6">
        <v>44213</v>
      </c>
      <c r="K166" s="8">
        <v>11931.2</v>
      </c>
      <c r="L166" s="8">
        <v>5.6000000000003638</v>
      </c>
      <c r="M166" s="8">
        <v>4.6957805058029482E-2</v>
      </c>
      <c r="N166" s="8">
        <v>16136668262</v>
      </c>
      <c r="O166" s="8">
        <v>1045057587</v>
      </c>
      <c r="P166" s="8">
        <v>6.9247584602165073</v>
      </c>
    </row>
    <row r="167" spans="1:16" x14ac:dyDescent="0.35">
      <c r="A167" s="6">
        <v>44206</v>
      </c>
      <c r="B167" s="8">
        <v>5130</v>
      </c>
      <c r="C167" s="8">
        <v>-149.39999999999964</v>
      </c>
      <c r="D167" s="8">
        <v>-2.8298670303443507</v>
      </c>
      <c r="E167" s="8">
        <v>503714</v>
      </c>
      <c r="F167" s="8">
        <v>-353607</v>
      </c>
      <c r="G167" s="8">
        <v>-41.245577794081797</v>
      </c>
      <c r="J167" s="6">
        <v>44206</v>
      </c>
      <c r="K167" s="8">
        <v>11925.6</v>
      </c>
      <c r="L167" s="8">
        <v>350.75</v>
      </c>
      <c r="M167" s="8">
        <v>3.03027685023996</v>
      </c>
      <c r="N167" s="8">
        <v>15091610675</v>
      </c>
      <c r="O167" s="8">
        <v>4365494757</v>
      </c>
      <c r="P167" s="8">
        <v>40.699679085828805</v>
      </c>
    </row>
    <row r="168" spans="1:16" x14ac:dyDescent="0.35">
      <c r="A168" s="6">
        <v>44199</v>
      </c>
      <c r="B168" s="8">
        <v>5279.4</v>
      </c>
      <c r="C168" s="8">
        <v>54.099999999999454</v>
      </c>
      <c r="D168" s="8">
        <v>1.0353472527893031</v>
      </c>
      <c r="E168" s="8">
        <v>857321</v>
      </c>
      <c r="F168" s="8">
        <v>456857</v>
      </c>
      <c r="G168" s="8">
        <v>114.08191497862479</v>
      </c>
      <c r="J168" s="6">
        <v>44199</v>
      </c>
      <c r="K168" s="8">
        <v>11574.85</v>
      </c>
      <c r="L168" s="8">
        <v>249.60000000000036</v>
      </c>
      <c r="M168" s="8">
        <v>2.2039248581709043</v>
      </c>
      <c r="N168" s="8">
        <v>10726115918</v>
      </c>
      <c r="O168" s="8">
        <v>217313980</v>
      </c>
      <c r="P168" s="8">
        <v>2.0679234539019058</v>
      </c>
    </row>
    <row r="169" spans="1:16" x14ac:dyDescent="0.35">
      <c r="A169" s="6">
        <v>44192</v>
      </c>
      <c r="B169" s="8">
        <v>5225.3</v>
      </c>
      <c r="C169" s="8">
        <v>26.400000000000546</v>
      </c>
      <c r="D169" s="8">
        <v>0.50779972686530894</v>
      </c>
      <c r="E169" s="8">
        <v>400464</v>
      </c>
      <c r="F169" s="8">
        <v>-178906</v>
      </c>
      <c r="G169" s="8">
        <v>-30.879403489997756</v>
      </c>
      <c r="J169" s="6">
        <v>44192</v>
      </c>
      <c r="K169" s="8">
        <v>11325.25</v>
      </c>
      <c r="L169" s="8">
        <v>-29.75</v>
      </c>
      <c r="M169" s="8">
        <v>-0.26199911933069131</v>
      </c>
      <c r="N169" s="8">
        <v>10508801938</v>
      </c>
      <c r="O169" s="8">
        <v>-767239436</v>
      </c>
      <c r="P169" s="8">
        <v>-6.8041559138748866</v>
      </c>
    </row>
    <row r="170" spans="1:16" x14ac:dyDescent="0.35">
      <c r="A170" s="6">
        <v>44185</v>
      </c>
      <c r="B170" s="8">
        <v>5198.8999999999996</v>
      </c>
      <c r="C170" s="8">
        <v>-82.25</v>
      </c>
      <c r="D170" s="8">
        <v>-1.5574259394260721</v>
      </c>
      <c r="E170" s="8">
        <v>579370</v>
      </c>
      <c r="F170" s="8">
        <v>-472812</v>
      </c>
      <c r="G170" s="8">
        <v>-44.936332307528545</v>
      </c>
      <c r="J170" s="6">
        <v>44185</v>
      </c>
      <c r="K170" s="8">
        <v>11355</v>
      </c>
      <c r="L170" s="8">
        <v>183.60000000000036</v>
      </c>
      <c r="M170" s="8">
        <v>1.643482464149528</v>
      </c>
      <c r="N170" s="8">
        <v>11276041374</v>
      </c>
      <c r="O170" s="8">
        <v>-3237197097</v>
      </c>
      <c r="P170" s="8">
        <v>-22.305132679163844</v>
      </c>
    </row>
    <row r="171" spans="1:16" x14ac:dyDescent="0.35">
      <c r="A171" s="6">
        <v>44178</v>
      </c>
      <c r="B171" s="8">
        <v>5281.15</v>
      </c>
      <c r="C171" s="8">
        <v>25.75</v>
      </c>
      <c r="D171" s="8">
        <v>0.48997221905088101</v>
      </c>
      <c r="E171" s="8">
        <v>1052182</v>
      </c>
      <c r="F171" s="8">
        <v>-809951</v>
      </c>
      <c r="G171" s="8">
        <v>-43.495872743783607</v>
      </c>
      <c r="J171" s="6">
        <v>44178</v>
      </c>
      <c r="K171" s="8">
        <v>11171.4</v>
      </c>
      <c r="L171" s="8">
        <v>192.54999999999927</v>
      </c>
      <c r="M171" s="8">
        <v>1.753826675835805</v>
      </c>
      <c r="N171" s="8">
        <v>14513238471</v>
      </c>
      <c r="O171" s="8">
        <v>3606346461</v>
      </c>
      <c r="P171" s="8">
        <v>33.064840631900601</v>
      </c>
    </row>
    <row r="172" spans="1:16" x14ac:dyDescent="0.35">
      <c r="A172" s="6">
        <v>44171</v>
      </c>
      <c r="B172" s="8">
        <v>5255.4</v>
      </c>
      <c r="C172" s="8">
        <v>150.89999999999964</v>
      </c>
      <c r="D172" s="8">
        <v>2.9562151043197109</v>
      </c>
      <c r="E172" s="8">
        <v>1862133</v>
      </c>
      <c r="F172" s="8">
        <v>1481214</v>
      </c>
      <c r="G172" s="8">
        <v>388.85274822206298</v>
      </c>
      <c r="J172" s="6">
        <v>44171</v>
      </c>
      <c r="K172" s="8">
        <v>10978.85</v>
      </c>
      <c r="L172" s="8">
        <v>259.80000000000109</v>
      </c>
      <c r="M172" s="8">
        <v>2.4237222515055077</v>
      </c>
      <c r="N172" s="8">
        <v>10906892010</v>
      </c>
      <c r="O172" s="8">
        <v>-3508571382</v>
      </c>
      <c r="P172" s="8">
        <v>-24.338942749125327</v>
      </c>
    </row>
    <row r="173" spans="1:16" x14ac:dyDescent="0.35">
      <c r="A173" s="6">
        <v>44164</v>
      </c>
      <c r="B173" s="8">
        <v>5104.5</v>
      </c>
      <c r="C173" s="8">
        <v>44</v>
      </c>
      <c r="D173" s="8">
        <v>0.86947930046438104</v>
      </c>
      <c r="E173" s="8">
        <v>380919</v>
      </c>
      <c r="F173" s="8">
        <v>-634203</v>
      </c>
      <c r="G173" s="8">
        <v>-62.475544811362575</v>
      </c>
      <c r="J173" s="6">
        <v>44164</v>
      </c>
      <c r="K173" s="8">
        <v>10719.05</v>
      </c>
      <c r="L173" s="8">
        <v>158.5</v>
      </c>
      <c r="M173" s="8">
        <v>1.5008687994469987</v>
      </c>
      <c r="N173" s="8">
        <v>14415463392</v>
      </c>
      <c r="O173" s="8">
        <v>4145115512</v>
      </c>
      <c r="P173" s="8">
        <v>40.360030258293449</v>
      </c>
    </row>
    <row r="174" spans="1:16" x14ac:dyDescent="0.35">
      <c r="A174" s="6">
        <v>44157</v>
      </c>
      <c r="B174" s="8">
        <v>5060.5</v>
      </c>
      <c r="C174" s="8">
        <v>-77.350000000000364</v>
      </c>
      <c r="D174" s="8">
        <v>-1.505493543018974</v>
      </c>
      <c r="E174" s="8">
        <v>1015122</v>
      </c>
      <c r="F174" s="8">
        <v>-1414468</v>
      </c>
      <c r="G174" s="8">
        <v>-58.218382525446678</v>
      </c>
      <c r="J174" s="6">
        <v>44157</v>
      </c>
      <c r="K174" s="8">
        <v>10560.55</v>
      </c>
      <c r="L174" s="8">
        <v>120.19999999999891</v>
      </c>
      <c r="M174" s="8">
        <v>1.1513023988659279</v>
      </c>
      <c r="N174" s="8">
        <v>10270347880</v>
      </c>
      <c r="O174" s="8">
        <v>-527923901</v>
      </c>
      <c r="P174" s="8">
        <v>-4.8889666023122667</v>
      </c>
    </row>
    <row r="175" spans="1:16" x14ac:dyDescent="0.35">
      <c r="A175" s="6">
        <v>44150</v>
      </c>
      <c r="B175" s="8">
        <v>5137.8500000000004</v>
      </c>
      <c r="C175" s="8">
        <v>207.25</v>
      </c>
      <c r="D175" s="8">
        <v>4.2033423924066033</v>
      </c>
      <c r="E175" s="8">
        <v>2429590</v>
      </c>
      <c r="F175" s="8">
        <v>2244726</v>
      </c>
      <c r="G175" s="8">
        <v>1214.258049160464</v>
      </c>
      <c r="J175" s="6">
        <v>44150</v>
      </c>
      <c r="K175" s="8">
        <v>10440.35</v>
      </c>
      <c r="L175" s="8">
        <v>406.85000000000036</v>
      </c>
      <c r="M175" s="8">
        <v>4.0549160312951651</v>
      </c>
      <c r="N175" s="8">
        <v>10798271781</v>
      </c>
      <c r="O175" s="8">
        <v>2411853215</v>
      </c>
      <c r="P175" s="8">
        <v>28.75903695980633</v>
      </c>
    </row>
    <row r="176" spans="1:16" x14ac:dyDescent="0.35">
      <c r="A176" s="6">
        <v>44143</v>
      </c>
      <c r="B176" s="8">
        <v>4930.6000000000004</v>
      </c>
      <c r="C176" s="8">
        <v>-54.349999999999454</v>
      </c>
      <c r="D176" s="8">
        <v>-1.0902817480616547</v>
      </c>
      <c r="E176" s="8">
        <v>184864</v>
      </c>
      <c r="F176" s="8">
        <v>-13049</v>
      </c>
      <c r="G176" s="8">
        <v>-6.5933010969466386</v>
      </c>
      <c r="J176" s="6">
        <v>44143</v>
      </c>
      <c r="K176" s="8">
        <v>10033.5</v>
      </c>
      <c r="L176" s="8">
        <v>451.85000000000036</v>
      </c>
      <c r="M176" s="8">
        <v>4.7157848596014293</v>
      </c>
      <c r="N176" s="8">
        <v>8386418566</v>
      </c>
      <c r="O176" s="8">
        <v>8157305</v>
      </c>
      <c r="P176" s="8">
        <v>9.7362743245683558E-2</v>
      </c>
    </row>
    <row r="177" spans="1:16" x14ac:dyDescent="0.35">
      <c r="A177" s="6">
        <v>44136</v>
      </c>
      <c r="B177" s="8">
        <v>4984.95</v>
      </c>
      <c r="C177" s="8">
        <v>-134.90000000000055</v>
      </c>
      <c r="D177" s="8">
        <v>-2.634842817660684</v>
      </c>
      <c r="E177" s="8">
        <v>197913</v>
      </c>
      <c r="F177" s="8">
        <v>-26749</v>
      </c>
      <c r="G177" s="8">
        <v>-11.906330398554273</v>
      </c>
      <c r="J177" s="6">
        <v>44136</v>
      </c>
      <c r="K177" s="8">
        <v>9581.65</v>
      </c>
      <c r="L177" s="8">
        <v>-198.70000000000073</v>
      </c>
      <c r="M177" s="8">
        <v>-2.031624635110203</v>
      </c>
      <c r="N177" s="8">
        <v>8378261261</v>
      </c>
      <c r="O177" s="8">
        <v>-39675251</v>
      </c>
      <c r="P177" s="8">
        <v>-0.47131801176501914</v>
      </c>
    </row>
    <row r="178" spans="1:16" x14ac:dyDescent="0.35">
      <c r="A178" s="6">
        <v>44129</v>
      </c>
      <c r="B178" s="8">
        <v>5119.8500000000004</v>
      </c>
      <c r="C178" s="8">
        <v>145.80000000000018</v>
      </c>
      <c r="D178" s="8">
        <v>2.9312129954463702</v>
      </c>
      <c r="E178" s="8">
        <v>224662</v>
      </c>
      <c r="F178" s="8">
        <v>90123</v>
      </c>
      <c r="G178" s="8">
        <v>66.98652435353317</v>
      </c>
      <c r="J178" s="6">
        <v>44129</v>
      </c>
      <c r="K178" s="8">
        <v>9780.35</v>
      </c>
      <c r="L178" s="8">
        <v>154.10000000000036</v>
      </c>
      <c r="M178" s="8">
        <v>1.6008310609011855</v>
      </c>
      <c r="N178" s="8">
        <v>8417936512</v>
      </c>
      <c r="O178" s="8">
        <v>925485958</v>
      </c>
      <c r="P178" s="8">
        <v>12.352246455679445</v>
      </c>
    </row>
    <row r="179" spans="1:16" x14ac:dyDescent="0.35">
      <c r="A179" s="6">
        <v>44122</v>
      </c>
      <c r="B179" s="8">
        <v>4974.05</v>
      </c>
      <c r="C179" s="8">
        <v>-47.849999999999454</v>
      </c>
      <c r="D179" s="8">
        <v>-0.95282661940698654</v>
      </c>
      <c r="E179" s="8">
        <v>134539</v>
      </c>
      <c r="F179" s="8">
        <v>-76651</v>
      </c>
      <c r="G179" s="8">
        <v>-36.294805625266349</v>
      </c>
      <c r="J179" s="6">
        <v>44122</v>
      </c>
      <c r="K179" s="8">
        <v>9626.25</v>
      </c>
      <c r="L179" s="8">
        <v>-123.89999999999964</v>
      </c>
      <c r="M179" s="8">
        <v>-1.2707496807741383</v>
      </c>
      <c r="N179" s="8">
        <v>7492450554</v>
      </c>
      <c r="O179" s="8">
        <v>-747860297</v>
      </c>
      <c r="P179" s="8">
        <v>-9.0756321032384797</v>
      </c>
    </row>
    <row r="180" spans="1:16" x14ac:dyDescent="0.35">
      <c r="A180" s="6">
        <v>44115</v>
      </c>
      <c r="B180" s="8">
        <v>5021.8999999999996</v>
      </c>
      <c r="C180" s="8">
        <v>120.14999999999964</v>
      </c>
      <c r="D180" s="8">
        <v>2.4511654001121972</v>
      </c>
      <c r="E180" s="8">
        <v>211190</v>
      </c>
      <c r="F180" s="8">
        <v>7508</v>
      </c>
      <c r="G180" s="8">
        <v>3.6861381958150452</v>
      </c>
      <c r="J180" s="6">
        <v>44115</v>
      </c>
      <c r="K180" s="8">
        <v>9750.15</v>
      </c>
      <c r="L180" s="8">
        <v>288.44999999999891</v>
      </c>
      <c r="M180" s="8">
        <v>3.0486064872063041</v>
      </c>
      <c r="N180" s="8">
        <v>8240310851</v>
      </c>
      <c r="O180" s="8">
        <v>1008247428</v>
      </c>
      <c r="P180" s="8">
        <v>13.941352129096227</v>
      </c>
    </row>
    <row r="181" spans="1:16" x14ac:dyDescent="0.35">
      <c r="A181" s="6">
        <v>44108</v>
      </c>
      <c r="B181" s="8">
        <v>4901.75</v>
      </c>
      <c r="C181" s="8">
        <v>-17.75</v>
      </c>
      <c r="D181" s="8">
        <v>-0.36080902530744996</v>
      </c>
      <c r="E181" s="8">
        <v>203682</v>
      </c>
      <c r="F181" s="8">
        <v>-115917</v>
      </c>
      <c r="G181" s="8">
        <v>-36.269512733143721</v>
      </c>
      <c r="J181" s="6">
        <v>44108</v>
      </c>
      <c r="K181" s="8">
        <v>9461.7000000000007</v>
      </c>
      <c r="L181" s="8">
        <v>305.60000000000036</v>
      </c>
      <c r="M181" s="8">
        <v>3.3376655999825293</v>
      </c>
      <c r="N181" s="8">
        <v>7232063423</v>
      </c>
      <c r="O181" s="8">
        <v>-3513407544</v>
      </c>
      <c r="P181" s="8">
        <v>-32.696636143635679</v>
      </c>
    </row>
    <row r="182" spans="1:16" x14ac:dyDescent="0.35">
      <c r="A182" s="6">
        <v>44101</v>
      </c>
      <c r="B182" s="8">
        <v>4919.5</v>
      </c>
      <c r="C182" s="8">
        <v>-68.600000000000364</v>
      </c>
      <c r="D182" s="8">
        <v>-1.3752731500972386</v>
      </c>
      <c r="E182" s="8">
        <v>319599</v>
      </c>
      <c r="F182" s="8">
        <v>-140417</v>
      </c>
      <c r="G182" s="8">
        <v>-30.524373065284685</v>
      </c>
      <c r="J182" s="6">
        <v>44101</v>
      </c>
      <c r="K182" s="8">
        <v>9156.1</v>
      </c>
      <c r="L182" s="8">
        <v>-403.39999999999964</v>
      </c>
      <c r="M182" s="8">
        <v>-4.2198859773000645</v>
      </c>
      <c r="N182" s="8">
        <v>10745470967</v>
      </c>
      <c r="O182" s="8">
        <v>1197058540</v>
      </c>
      <c r="P182" s="8">
        <v>12.536728478705877</v>
      </c>
    </row>
    <row r="183" spans="1:16" x14ac:dyDescent="0.35">
      <c r="A183" s="6">
        <v>44094</v>
      </c>
      <c r="B183" s="8">
        <v>4988.1000000000004</v>
      </c>
      <c r="C183" s="8">
        <v>115.5</v>
      </c>
      <c r="D183" s="8">
        <v>2.3703977342691784</v>
      </c>
      <c r="E183" s="8">
        <v>460016</v>
      </c>
      <c r="F183" s="8">
        <v>-318272</v>
      </c>
      <c r="G183" s="8">
        <v>-40.893859342556993</v>
      </c>
      <c r="J183" s="6">
        <v>44094</v>
      </c>
      <c r="K183" s="8">
        <v>9559.5</v>
      </c>
      <c r="L183" s="8">
        <v>113.10000000000036</v>
      </c>
      <c r="M183" s="8">
        <v>1.1972815040650446</v>
      </c>
      <c r="N183" s="8">
        <v>9548412427</v>
      </c>
      <c r="O183" s="8">
        <v>-503609518</v>
      </c>
      <c r="P183" s="8">
        <v>-5.0100320189860073</v>
      </c>
    </row>
    <row r="184" spans="1:16" x14ac:dyDescent="0.35">
      <c r="A184" s="6">
        <v>44087</v>
      </c>
      <c r="B184" s="8">
        <v>4872.6000000000004</v>
      </c>
      <c r="C184" s="8">
        <v>98.100000000000364</v>
      </c>
      <c r="D184" s="8">
        <v>2.0546654099905823</v>
      </c>
      <c r="E184" s="8">
        <v>778288</v>
      </c>
      <c r="F184" s="8">
        <v>560598</v>
      </c>
      <c r="G184" s="8">
        <v>257.52124580825944</v>
      </c>
      <c r="J184" s="6">
        <v>44087</v>
      </c>
      <c r="K184" s="8">
        <v>9446.4</v>
      </c>
      <c r="L184" s="8">
        <v>68.449999999998909</v>
      </c>
      <c r="M184" s="8">
        <v>0.72990365698259108</v>
      </c>
      <c r="N184" s="8">
        <v>10052021945</v>
      </c>
      <c r="O184" s="8">
        <v>-5888328686</v>
      </c>
      <c r="P184" s="8">
        <v>-36.939768906642939</v>
      </c>
    </row>
    <row r="185" spans="1:16" x14ac:dyDescent="0.35">
      <c r="A185" s="6">
        <v>44080</v>
      </c>
      <c r="B185" s="8">
        <v>4774.5</v>
      </c>
      <c r="C185" s="8">
        <v>34.800000000000182</v>
      </c>
      <c r="D185" s="8">
        <v>0.734223685043361</v>
      </c>
      <c r="E185" s="8">
        <v>217690</v>
      </c>
      <c r="F185" s="8">
        <v>-180429</v>
      </c>
      <c r="G185" s="8">
        <v>-45.320369035388914</v>
      </c>
      <c r="J185" s="6">
        <v>44080</v>
      </c>
      <c r="K185" s="8">
        <v>9377.9500000000007</v>
      </c>
      <c r="L185" s="8">
        <v>-263.09999999999854</v>
      </c>
      <c r="M185" s="8">
        <v>-2.7289558709891408</v>
      </c>
      <c r="N185" s="8">
        <v>15940350631</v>
      </c>
      <c r="O185" s="8">
        <v>2981515450</v>
      </c>
      <c r="P185" s="8">
        <v>23.007588323767262</v>
      </c>
    </row>
    <row r="186" spans="1:16" x14ac:dyDescent="0.35">
      <c r="A186" s="6">
        <v>44073</v>
      </c>
      <c r="B186" s="8">
        <v>4739.7</v>
      </c>
      <c r="C186" s="8">
        <v>135.89999999999964</v>
      </c>
      <c r="D186" s="8">
        <v>2.9519092923237245</v>
      </c>
      <c r="E186" s="8">
        <v>398119</v>
      </c>
      <c r="F186" s="8">
        <v>212814</v>
      </c>
      <c r="G186" s="8">
        <v>114.84525511993741</v>
      </c>
      <c r="J186" s="6">
        <v>44073</v>
      </c>
      <c r="K186" s="8">
        <v>9641.0499999999993</v>
      </c>
      <c r="L186" s="8">
        <v>217.5</v>
      </c>
      <c r="M186" s="8">
        <v>2.3080473919064475</v>
      </c>
      <c r="N186" s="8">
        <v>12958835181</v>
      </c>
      <c r="O186" s="8">
        <v>2081969981</v>
      </c>
      <c r="P186" s="8">
        <v>19.141268579847804</v>
      </c>
    </row>
    <row r="187" spans="1:16" x14ac:dyDescent="0.35">
      <c r="A187" s="6">
        <v>44066</v>
      </c>
      <c r="B187" s="8">
        <v>4603.8</v>
      </c>
      <c r="C187" s="8">
        <v>118.85000000000036</v>
      </c>
      <c r="D187" s="8">
        <v>2.6499738012686955</v>
      </c>
      <c r="E187" s="8">
        <v>185305</v>
      </c>
      <c r="F187" s="8">
        <v>-275860</v>
      </c>
      <c r="G187" s="8">
        <v>-59.818069454533628</v>
      </c>
      <c r="J187" s="6">
        <v>44066</v>
      </c>
      <c r="K187" s="8">
        <v>9423.5499999999993</v>
      </c>
      <c r="L187" s="8">
        <v>209.14999999999964</v>
      </c>
      <c r="M187" s="8">
        <v>2.2698168084736894</v>
      </c>
      <c r="N187" s="8">
        <v>10876865200</v>
      </c>
      <c r="O187" s="8">
        <v>-171335180</v>
      </c>
      <c r="P187" s="8">
        <v>-1.5507971805992895</v>
      </c>
    </row>
    <row r="188" spans="1:16" x14ac:dyDescent="0.35">
      <c r="A188" s="6">
        <v>44059</v>
      </c>
      <c r="B188" s="8">
        <v>4484.95</v>
      </c>
      <c r="C188" s="8">
        <v>101.44999999999982</v>
      </c>
      <c r="D188" s="8">
        <v>2.3143606706969275</v>
      </c>
      <c r="E188" s="8">
        <v>461165</v>
      </c>
      <c r="F188" s="8">
        <v>200933</v>
      </c>
      <c r="G188" s="8">
        <v>77.213025300501087</v>
      </c>
      <c r="J188" s="6">
        <v>44059</v>
      </c>
      <c r="K188" s="8">
        <v>9214.4</v>
      </c>
      <c r="L188" s="8">
        <v>15.75</v>
      </c>
      <c r="M188" s="8">
        <v>0.1712207769618368</v>
      </c>
      <c r="N188" s="8">
        <v>11048200380</v>
      </c>
      <c r="O188" s="8">
        <v>759037922</v>
      </c>
      <c r="P188" s="8">
        <v>7.3770622740030216</v>
      </c>
    </row>
    <row r="189" spans="1:16" x14ac:dyDescent="0.35">
      <c r="A189" s="6">
        <v>44052</v>
      </c>
      <c r="B189" s="8">
        <v>4383.5</v>
      </c>
      <c r="C189" s="8">
        <v>105.75</v>
      </c>
      <c r="D189" s="8">
        <v>2.472093974636199</v>
      </c>
      <c r="E189" s="8">
        <v>260232</v>
      </c>
      <c r="F189" s="8">
        <v>-128444</v>
      </c>
      <c r="G189" s="8">
        <v>-33.04654776729204</v>
      </c>
      <c r="J189" s="6">
        <v>44052</v>
      </c>
      <c r="K189" s="8">
        <v>9198.65</v>
      </c>
      <c r="L189" s="8">
        <v>162.89999999999964</v>
      </c>
      <c r="M189" s="8">
        <v>1.8028387239576087</v>
      </c>
      <c r="N189" s="8">
        <v>10289162458</v>
      </c>
      <c r="O189" s="8">
        <v>731772203</v>
      </c>
      <c r="P189" s="8">
        <v>7.65661109859116</v>
      </c>
    </row>
    <row r="190" spans="1:16" x14ac:dyDescent="0.35">
      <c r="A190" s="6">
        <v>44045</v>
      </c>
      <c r="B190" s="8">
        <v>4277.75</v>
      </c>
      <c r="C190" s="8">
        <v>-65.100000000000364</v>
      </c>
      <c r="D190" s="8">
        <v>-1.4990156233809677</v>
      </c>
      <c r="E190" s="8">
        <v>388676</v>
      </c>
      <c r="F190" s="8">
        <v>11539</v>
      </c>
      <c r="G190" s="8">
        <v>3.0596308503275997</v>
      </c>
      <c r="J190" s="6">
        <v>44045</v>
      </c>
      <c r="K190" s="8">
        <v>9035.75</v>
      </c>
      <c r="L190" s="8">
        <v>-50.200000000000728</v>
      </c>
      <c r="M190" s="8">
        <v>-0.55250138950798455</v>
      </c>
      <c r="N190" s="8">
        <v>9557390255</v>
      </c>
      <c r="O190" s="8">
        <v>-1864336072</v>
      </c>
      <c r="P190" s="8">
        <v>-16.322717062418722</v>
      </c>
    </row>
    <row r="191" spans="1:16" x14ac:dyDescent="0.35">
      <c r="A191" s="6">
        <v>44038</v>
      </c>
      <c r="B191" s="8">
        <v>4342.8500000000004</v>
      </c>
      <c r="C191" s="8">
        <v>210.25</v>
      </c>
      <c r="D191" s="8">
        <v>5.0875961864201713</v>
      </c>
      <c r="E191" s="8">
        <v>377137</v>
      </c>
      <c r="F191" s="8">
        <v>84603</v>
      </c>
      <c r="G191" s="8">
        <v>28.92074083696254</v>
      </c>
      <c r="J191" s="6">
        <v>44038</v>
      </c>
      <c r="K191" s="8">
        <v>9085.9500000000007</v>
      </c>
      <c r="L191" s="8">
        <v>190.65000000000146</v>
      </c>
      <c r="M191" s="8">
        <v>2.1432666689150617</v>
      </c>
      <c r="N191" s="8">
        <v>11421726327</v>
      </c>
      <c r="O191" s="8">
        <v>-214303467</v>
      </c>
      <c r="P191" s="8">
        <v>-1.841723257794539</v>
      </c>
    </row>
    <row r="192" spans="1:16" x14ac:dyDescent="0.35">
      <c r="A192" s="6">
        <v>44031</v>
      </c>
      <c r="B192" s="8">
        <v>4132.6000000000004</v>
      </c>
      <c r="C192" s="8">
        <v>42.250000000000455</v>
      </c>
      <c r="D192" s="8">
        <v>1.0329189433667156</v>
      </c>
      <c r="E192" s="8">
        <v>292534</v>
      </c>
      <c r="F192" s="8">
        <v>95466</v>
      </c>
      <c r="G192" s="8">
        <v>48.443176974445372</v>
      </c>
      <c r="J192" s="6">
        <v>44031</v>
      </c>
      <c r="K192" s="8">
        <v>8895.2999999999993</v>
      </c>
      <c r="L192" s="8">
        <v>81.349999999998545</v>
      </c>
      <c r="M192" s="8">
        <v>0.92296870302189749</v>
      </c>
      <c r="N192" s="8">
        <v>11636029794</v>
      </c>
      <c r="O192" s="8">
        <v>-1431211472</v>
      </c>
      <c r="P192" s="8">
        <v>-10.952667383006901</v>
      </c>
    </row>
    <row r="193" spans="1:16" x14ac:dyDescent="0.35">
      <c r="A193" s="6">
        <v>44024</v>
      </c>
      <c r="B193" s="8">
        <v>4090.35</v>
      </c>
      <c r="C193" s="8">
        <v>-32.500000000000455</v>
      </c>
      <c r="D193" s="8">
        <v>-0.78828965400149054</v>
      </c>
      <c r="E193" s="8">
        <v>197068</v>
      </c>
      <c r="F193" s="8">
        <v>-291923</v>
      </c>
      <c r="G193" s="8">
        <v>-59.699053765815734</v>
      </c>
      <c r="J193" s="6">
        <v>44024</v>
      </c>
      <c r="K193" s="8">
        <v>8813.9500000000007</v>
      </c>
      <c r="L193" s="8">
        <v>117.70000000000073</v>
      </c>
      <c r="M193" s="8">
        <v>1.3534569498347073</v>
      </c>
      <c r="N193" s="8">
        <v>13067241266</v>
      </c>
      <c r="O193" s="8">
        <v>1050383680</v>
      </c>
      <c r="P193" s="8">
        <v>8.7409181017816877</v>
      </c>
    </row>
    <row r="194" spans="1:16" x14ac:dyDescent="0.35">
      <c r="A194" s="6">
        <v>44017</v>
      </c>
      <c r="B194" s="8">
        <v>4122.8500000000004</v>
      </c>
      <c r="C194" s="8">
        <v>21.150000000000546</v>
      </c>
      <c r="D194" s="8">
        <v>0.51563985664481915</v>
      </c>
      <c r="E194" s="8">
        <v>488991</v>
      </c>
      <c r="F194" s="8">
        <v>99504</v>
      </c>
      <c r="G194" s="8">
        <v>25.547450877692967</v>
      </c>
      <c r="J194" s="6">
        <v>44017</v>
      </c>
      <c r="K194" s="8">
        <v>8696.25</v>
      </c>
      <c r="L194" s="8">
        <v>137.25</v>
      </c>
      <c r="M194" s="8">
        <v>1.6035751840168244</v>
      </c>
      <c r="N194" s="8">
        <v>12016857586</v>
      </c>
      <c r="O194" s="8">
        <v>-4859124074</v>
      </c>
      <c r="P194" s="8">
        <v>-28.793134360398447</v>
      </c>
    </row>
    <row r="195" spans="1:16" x14ac:dyDescent="0.35">
      <c r="A195" s="6">
        <v>44010</v>
      </c>
      <c r="B195" s="8">
        <v>4101.7</v>
      </c>
      <c r="C195" s="8">
        <v>102.54999999999973</v>
      </c>
      <c r="D195" s="8">
        <v>2.5642949126689354</v>
      </c>
      <c r="E195" s="8">
        <v>389487</v>
      </c>
      <c r="F195" s="8">
        <v>27987</v>
      </c>
      <c r="G195" s="8">
        <v>7.7419087136929461</v>
      </c>
      <c r="J195" s="6">
        <v>44010</v>
      </c>
      <c r="K195" s="8">
        <v>8559</v>
      </c>
      <c r="L195" s="8">
        <v>155.60000000000036</v>
      </c>
      <c r="M195" s="8">
        <v>1.8516314824951849</v>
      </c>
      <c r="N195" s="8">
        <v>16875981660</v>
      </c>
      <c r="O195" s="8">
        <v>2335982857</v>
      </c>
      <c r="P195" s="8">
        <v>16.065908179566168</v>
      </c>
    </row>
    <row r="196" spans="1:16" x14ac:dyDescent="0.35">
      <c r="A196" s="6">
        <v>44003</v>
      </c>
      <c r="B196" s="8">
        <v>3999.15</v>
      </c>
      <c r="C196" s="8">
        <v>-65</v>
      </c>
      <c r="D196" s="8">
        <v>-1.599350417676513</v>
      </c>
      <c r="E196" s="8">
        <v>361500</v>
      </c>
      <c r="F196" s="8">
        <v>-60306</v>
      </c>
      <c r="G196" s="8">
        <v>-14.29709392469524</v>
      </c>
      <c r="J196" s="6">
        <v>44003</v>
      </c>
      <c r="K196" s="8">
        <v>8403.4</v>
      </c>
      <c r="L196" s="8">
        <v>207</v>
      </c>
      <c r="M196" s="8">
        <v>2.5254989995607828</v>
      </c>
      <c r="N196" s="8">
        <v>14539998803</v>
      </c>
      <c r="O196" s="8">
        <v>-5901033873</v>
      </c>
      <c r="P196" s="8">
        <v>-28.868570226045659</v>
      </c>
    </row>
    <row r="197" spans="1:16" x14ac:dyDescent="0.35">
      <c r="A197" s="6">
        <v>43996</v>
      </c>
      <c r="B197" s="8">
        <v>4064.15</v>
      </c>
      <c r="C197" s="8">
        <v>-38.099999999999909</v>
      </c>
      <c r="D197" s="8">
        <v>-0.92875860808092903</v>
      </c>
      <c r="E197" s="8">
        <v>421806</v>
      </c>
      <c r="F197" s="8">
        <v>-227148</v>
      </c>
      <c r="G197" s="8">
        <v>-35.002172727188679</v>
      </c>
      <c r="J197" s="6">
        <v>43996</v>
      </c>
      <c r="K197" s="8">
        <v>8196.4</v>
      </c>
      <c r="L197" s="8">
        <v>-102.95000000000073</v>
      </c>
      <c r="M197" s="8">
        <v>-1.2404585901305611</v>
      </c>
      <c r="N197" s="8">
        <v>20441032676</v>
      </c>
      <c r="O197" s="8">
        <v>2956296364</v>
      </c>
      <c r="P197" s="8">
        <v>16.907869305246862</v>
      </c>
    </row>
    <row r="198" spans="1:16" x14ac:dyDescent="0.35">
      <c r="A198" s="6">
        <v>43989</v>
      </c>
      <c r="B198" s="8">
        <v>4102.25</v>
      </c>
      <c r="C198" s="8">
        <v>63.650000000000091</v>
      </c>
      <c r="D198" s="8">
        <v>1.5760412023968724</v>
      </c>
      <c r="E198" s="8">
        <v>648954</v>
      </c>
      <c r="F198" s="8">
        <v>104518</v>
      </c>
      <c r="G198" s="8">
        <v>19.197481430324224</v>
      </c>
      <c r="J198" s="6">
        <v>43989</v>
      </c>
      <c r="K198" s="8">
        <v>8299.35</v>
      </c>
      <c r="L198" s="8">
        <v>476.95000000000073</v>
      </c>
      <c r="M198" s="8">
        <v>6.0972335856003372</v>
      </c>
      <c r="N198" s="8">
        <v>17484736312</v>
      </c>
      <c r="O198" s="8">
        <v>5637665984</v>
      </c>
      <c r="P198" s="8">
        <v>47.587005292571263</v>
      </c>
    </row>
    <row r="199" spans="1:16" x14ac:dyDescent="0.35">
      <c r="A199" s="6">
        <v>43982</v>
      </c>
      <c r="B199" s="8">
        <v>4038.6</v>
      </c>
      <c r="C199" s="8">
        <v>-140.25000000000045</v>
      </c>
      <c r="D199" s="8">
        <v>-3.3561865106428908</v>
      </c>
      <c r="E199" s="8">
        <v>544436</v>
      </c>
      <c r="F199" s="8">
        <v>330425</v>
      </c>
      <c r="G199" s="8">
        <v>154.39626935064086</v>
      </c>
      <c r="J199" s="6">
        <v>43982</v>
      </c>
      <c r="K199" s="8">
        <v>7822.4</v>
      </c>
      <c r="L199" s="8">
        <v>406.39999999999964</v>
      </c>
      <c r="M199" s="8">
        <v>5.4800431499460576</v>
      </c>
      <c r="N199" s="8">
        <v>11847070328</v>
      </c>
      <c r="O199" s="8">
        <v>878230298</v>
      </c>
      <c r="P199" s="8">
        <v>8.0065922704499499</v>
      </c>
    </row>
    <row r="200" spans="1:16" x14ac:dyDescent="0.35">
      <c r="A200" s="6">
        <v>43975</v>
      </c>
      <c r="B200" s="8">
        <v>4178.8500000000004</v>
      </c>
      <c r="C200" s="8">
        <v>-173.29999999999927</v>
      </c>
      <c r="D200" s="8">
        <v>-3.9819399607090586</v>
      </c>
      <c r="E200" s="8">
        <v>214011</v>
      </c>
      <c r="F200" s="8">
        <v>-89244</v>
      </c>
      <c r="G200" s="8">
        <v>-29.428698619973289</v>
      </c>
      <c r="J200" s="6">
        <v>43975</v>
      </c>
      <c r="K200" s="8">
        <v>7416</v>
      </c>
      <c r="L200" s="8">
        <v>-88.050000000000182</v>
      </c>
      <c r="M200" s="8">
        <v>-1.1733663821536395</v>
      </c>
      <c r="N200" s="8">
        <v>10968840030</v>
      </c>
      <c r="O200" s="8">
        <v>-664777197</v>
      </c>
      <c r="P200" s="8">
        <v>-5.7142777180011137</v>
      </c>
    </row>
    <row r="201" spans="1:16" x14ac:dyDescent="0.35">
      <c r="A201" s="6">
        <v>43968</v>
      </c>
      <c r="B201" s="8">
        <v>4352.1499999999996</v>
      </c>
      <c r="C201" s="8">
        <v>-252.60000000000036</v>
      </c>
      <c r="D201" s="8">
        <v>-5.4856398284380337</v>
      </c>
      <c r="E201" s="8">
        <v>303255</v>
      </c>
      <c r="F201" s="8">
        <v>-175657</v>
      </c>
      <c r="G201" s="8">
        <v>-36.678345917412805</v>
      </c>
      <c r="J201" s="6">
        <v>43968</v>
      </c>
      <c r="K201" s="8">
        <v>7504.05</v>
      </c>
      <c r="L201" s="8">
        <v>-47.949999999999818</v>
      </c>
      <c r="M201" s="8">
        <v>-0.63493114406779416</v>
      </c>
      <c r="N201" s="8">
        <v>11633617227</v>
      </c>
      <c r="O201" s="8">
        <v>2265914290</v>
      </c>
      <c r="P201" s="8">
        <v>24.188579689586714</v>
      </c>
    </row>
    <row r="202" spans="1:16" x14ac:dyDescent="0.35">
      <c r="A202" s="6">
        <v>43961</v>
      </c>
      <c r="B202" s="8">
        <v>4604.75</v>
      </c>
      <c r="C202" s="8">
        <v>-297.19999999999982</v>
      </c>
      <c r="D202" s="8">
        <v>-6.0628933383653409</v>
      </c>
      <c r="E202" s="8">
        <v>478912</v>
      </c>
      <c r="F202" s="8">
        <v>-386090</v>
      </c>
      <c r="G202" s="8">
        <v>-44.634578879586407</v>
      </c>
      <c r="J202" s="6">
        <v>43961</v>
      </c>
      <c r="K202" s="8">
        <v>7552</v>
      </c>
      <c r="L202" s="8">
        <v>-460.89999999999964</v>
      </c>
      <c r="M202" s="8">
        <v>-5.7519749404085871</v>
      </c>
      <c r="N202" s="8">
        <v>9367702937</v>
      </c>
      <c r="O202" s="8">
        <v>1236068824</v>
      </c>
      <c r="P202" s="8">
        <v>15.200743255576432</v>
      </c>
    </row>
    <row r="203" spans="1:16" x14ac:dyDescent="0.35">
      <c r="A203" s="6">
        <v>43954</v>
      </c>
      <c r="B203" s="8">
        <v>4901.95</v>
      </c>
      <c r="C203" s="8">
        <v>503</v>
      </c>
      <c r="D203" s="8">
        <v>11.434546880505575</v>
      </c>
      <c r="E203" s="8">
        <v>865002</v>
      </c>
      <c r="F203" s="8">
        <v>520705</v>
      </c>
      <c r="G203" s="8">
        <v>151.23715861596239</v>
      </c>
      <c r="J203" s="6">
        <v>43954</v>
      </c>
      <c r="K203" s="8">
        <v>8012.9</v>
      </c>
      <c r="L203" s="8">
        <v>519.44999999999982</v>
      </c>
      <c r="M203" s="8">
        <v>6.9320539938212686</v>
      </c>
      <c r="N203" s="8">
        <v>8131634113</v>
      </c>
      <c r="O203" s="8">
        <v>-2337199086</v>
      </c>
      <c r="P203" s="8">
        <v>-22.325306379160317</v>
      </c>
    </row>
    <row r="204" spans="1:16" x14ac:dyDescent="0.35">
      <c r="A204" s="6">
        <v>43947</v>
      </c>
      <c r="B204" s="8">
        <v>4398.95</v>
      </c>
      <c r="C204" s="8">
        <v>93</v>
      </c>
      <c r="D204" s="8">
        <v>2.1598021342560876</v>
      </c>
      <c r="E204" s="8">
        <v>344297</v>
      </c>
      <c r="F204" s="8">
        <v>105181</v>
      </c>
      <c r="G204" s="8">
        <v>43.987437059837063</v>
      </c>
      <c r="J204" s="6">
        <v>43947</v>
      </c>
      <c r="K204" s="8">
        <v>7493.45</v>
      </c>
      <c r="L204" s="8">
        <v>-120.94999999999982</v>
      </c>
      <c r="M204" s="8">
        <v>-1.5884376969951648</v>
      </c>
      <c r="N204" s="8">
        <v>10468833199</v>
      </c>
      <c r="O204" s="8">
        <v>625589581</v>
      </c>
      <c r="P204" s="8">
        <v>6.3555226841689247</v>
      </c>
    </row>
    <row r="205" spans="1:16" x14ac:dyDescent="0.35">
      <c r="A205" s="6">
        <v>43940</v>
      </c>
      <c r="B205" s="8">
        <v>4305.95</v>
      </c>
      <c r="C205" s="8">
        <v>-100.60000000000036</v>
      </c>
      <c r="D205" s="8">
        <v>-2.2829651314520509</v>
      </c>
      <c r="E205" s="8">
        <v>239116</v>
      </c>
      <c r="F205" s="8">
        <v>57254</v>
      </c>
      <c r="G205" s="8">
        <v>31.482112810812595</v>
      </c>
      <c r="J205" s="6">
        <v>43940</v>
      </c>
      <c r="K205" s="8">
        <v>7614.4</v>
      </c>
      <c r="L205" s="8">
        <v>172.75</v>
      </c>
      <c r="M205" s="8">
        <v>2.3213937769177537</v>
      </c>
      <c r="N205" s="8">
        <v>9843243618</v>
      </c>
      <c r="O205" s="8">
        <v>3859285866</v>
      </c>
      <c r="P205" s="8">
        <v>64.493868873157112</v>
      </c>
    </row>
    <row r="206" spans="1:16" x14ac:dyDescent="0.35">
      <c r="A206" s="6">
        <v>43933</v>
      </c>
      <c r="B206" s="8">
        <v>4406.55</v>
      </c>
      <c r="C206" s="8">
        <v>386.55000000000018</v>
      </c>
      <c r="D206" s="8">
        <v>9.6156716417910477</v>
      </c>
      <c r="E206" s="8">
        <v>181862</v>
      </c>
      <c r="F206" s="8">
        <v>-75453</v>
      </c>
      <c r="G206" s="8">
        <v>-29.323203077939489</v>
      </c>
      <c r="J206" s="6">
        <v>43933</v>
      </c>
      <c r="K206" s="8">
        <v>7441.65</v>
      </c>
      <c r="L206" s="8">
        <v>803.19999999999982</v>
      </c>
      <c r="M206" s="8">
        <v>12.099209905926834</v>
      </c>
      <c r="N206" s="8">
        <v>5983957752</v>
      </c>
      <c r="O206" s="8">
        <v>49411382</v>
      </c>
      <c r="P206" s="8">
        <v>0.83260587952908693</v>
      </c>
    </row>
    <row r="207" spans="1:16" x14ac:dyDescent="0.35">
      <c r="A207" s="6">
        <v>43926</v>
      </c>
      <c r="B207" s="8">
        <v>4020</v>
      </c>
      <c r="C207" s="8">
        <v>215.90000000000009</v>
      </c>
      <c r="D207" s="8">
        <v>5.6754554296679922</v>
      </c>
      <c r="E207" s="8">
        <v>257315</v>
      </c>
      <c r="F207" s="8">
        <v>100762</v>
      </c>
      <c r="G207" s="8">
        <v>64.362867527291073</v>
      </c>
      <c r="J207" s="6">
        <v>43926</v>
      </c>
      <c r="K207" s="8">
        <v>6638.45</v>
      </c>
      <c r="L207" s="8">
        <v>-364.85000000000036</v>
      </c>
      <c r="M207" s="8">
        <v>-5.2096868619079624</v>
      </c>
      <c r="N207" s="8">
        <v>5934546370</v>
      </c>
      <c r="O207" s="8">
        <v>-3164284679</v>
      </c>
      <c r="P207" s="8">
        <v>-34.77682640725336</v>
      </c>
    </row>
    <row r="208" spans="1:16" x14ac:dyDescent="0.35">
      <c r="A208" s="6">
        <v>43919</v>
      </c>
      <c r="B208" s="8">
        <v>3804.1</v>
      </c>
      <c r="C208" s="8">
        <v>-212.25</v>
      </c>
      <c r="D208" s="8">
        <v>-5.2846489972238473</v>
      </c>
      <c r="E208" s="8">
        <v>156553</v>
      </c>
      <c r="F208" s="8">
        <v>-90095</v>
      </c>
      <c r="G208" s="8">
        <v>-36.527764263241544</v>
      </c>
      <c r="J208" s="6">
        <v>43919</v>
      </c>
      <c r="K208" s="8">
        <v>7003.3</v>
      </c>
      <c r="L208" s="8">
        <v>-156.80000000000018</v>
      </c>
      <c r="M208" s="8">
        <v>-2.1899135486934562</v>
      </c>
      <c r="N208" s="8">
        <v>9098831049</v>
      </c>
      <c r="O208" s="8">
        <v>-7106528789</v>
      </c>
      <c r="P208" s="8">
        <v>-43.852952727009971</v>
      </c>
    </row>
    <row r="209" spans="1:16" x14ac:dyDescent="0.35">
      <c r="A209" s="6">
        <v>43912</v>
      </c>
      <c r="B209" s="8">
        <v>4016.35</v>
      </c>
      <c r="C209" s="8">
        <v>-260.59999999999991</v>
      </c>
      <c r="D209" s="8">
        <v>-6.0931271116099071</v>
      </c>
      <c r="E209" s="8">
        <v>246648</v>
      </c>
      <c r="F209" s="8">
        <v>-25950</v>
      </c>
      <c r="G209" s="8">
        <v>-9.5195122488059347</v>
      </c>
      <c r="J209" s="6">
        <v>43912</v>
      </c>
      <c r="K209" s="8">
        <v>7160.1</v>
      </c>
      <c r="L209" s="8">
        <v>-1002.8999999999996</v>
      </c>
      <c r="M209" s="8">
        <v>-12.285924292539503</v>
      </c>
      <c r="N209" s="8">
        <v>16205359838</v>
      </c>
      <c r="O209" s="8">
        <v>2479011930</v>
      </c>
      <c r="P209" s="8">
        <v>18.06024404026056</v>
      </c>
    </row>
    <row r="210" spans="1:16" x14ac:dyDescent="0.35">
      <c r="A210" s="6">
        <v>43905</v>
      </c>
      <c r="B210" s="8">
        <v>4276.95</v>
      </c>
      <c r="C210" s="8">
        <v>-135.35000000000036</v>
      </c>
      <c r="D210" s="8">
        <v>-3.067561135915517</v>
      </c>
      <c r="E210" s="8">
        <v>272598</v>
      </c>
      <c r="F210" s="8">
        <v>-658137</v>
      </c>
      <c r="G210" s="8">
        <v>-70.71153443246466</v>
      </c>
      <c r="J210" s="6">
        <v>43905</v>
      </c>
      <c r="K210" s="8">
        <v>8163</v>
      </c>
      <c r="L210" s="8">
        <v>-896.95000000000073</v>
      </c>
      <c r="M210" s="8">
        <v>-9.9001650119481965</v>
      </c>
      <c r="N210" s="8">
        <v>13726347908</v>
      </c>
      <c r="O210" s="8">
        <v>2729451215</v>
      </c>
      <c r="P210" s="8">
        <v>24.820195107747203</v>
      </c>
    </row>
    <row r="211" spans="1:16" x14ac:dyDescent="0.35">
      <c r="A211" s="6">
        <v>43898</v>
      </c>
      <c r="B211" s="8">
        <v>4412.3</v>
      </c>
      <c r="C211" s="8">
        <v>218.19999999999982</v>
      </c>
      <c r="D211" s="8">
        <v>5.2025464342767176</v>
      </c>
      <c r="E211" s="8">
        <v>930735</v>
      </c>
      <c r="F211" s="8">
        <v>762811</v>
      </c>
      <c r="G211" s="8">
        <v>454.25966508658678</v>
      </c>
      <c r="J211" s="6">
        <v>43898</v>
      </c>
      <c r="K211" s="8">
        <v>9059.9500000000007</v>
      </c>
      <c r="L211" s="8">
        <v>-176.09999999999854</v>
      </c>
      <c r="M211" s="8">
        <v>-1.9066592320309934</v>
      </c>
      <c r="N211" s="8">
        <v>10996896693</v>
      </c>
      <c r="O211" s="8">
        <v>1548361947</v>
      </c>
      <c r="P211" s="8">
        <v>16.387323417056734</v>
      </c>
    </row>
    <row r="212" spans="1:16" x14ac:dyDescent="0.35">
      <c r="A212" s="6">
        <v>43891</v>
      </c>
      <c r="B212" s="8">
        <v>4194.1000000000004</v>
      </c>
      <c r="C212" s="8">
        <v>6.5500000000001819</v>
      </c>
      <c r="D212" s="8">
        <v>0.15641604279352322</v>
      </c>
      <c r="E212" s="8">
        <v>167924</v>
      </c>
      <c r="F212" s="8">
        <v>-44389</v>
      </c>
      <c r="G212" s="8">
        <v>-20.907339635349697</v>
      </c>
      <c r="J212" s="6">
        <v>43891</v>
      </c>
      <c r="K212" s="8">
        <v>9236.0499999999993</v>
      </c>
      <c r="L212" s="8">
        <v>-722.60000000000036</v>
      </c>
      <c r="M212" s="8">
        <v>-7.256003574781726</v>
      </c>
      <c r="N212" s="8">
        <v>9448534746</v>
      </c>
      <c r="O212" s="8">
        <v>861816111</v>
      </c>
      <c r="P212" s="8">
        <v>10.036617567590765</v>
      </c>
    </row>
    <row r="213" spans="1:16" x14ac:dyDescent="0.35">
      <c r="A213" s="6">
        <v>43884</v>
      </c>
      <c r="B213" s="8">
        <v>4187.55</v>
      </c>
      <c r="C213" s="8">
        <v>-5.75</v>
      </c>
      <c r="D213" s="8">
        <v>-0.13712350654615696</v>
      </c>
      <c r="E213" s="8">
        <v>212313</v>
      </c>
      <c r="F213" s="8">
        <v>-291070</v>
      </c>
      <c r="G213" s="8">
        <v>-57.822771130530832</v>
      </c>
      <c r="J213" s="6">
        <v>43884</v>
      </c>
      <c r="K213" s="8">
        <v>9958.65</v>
      </c>
      <c r="L213" s="8">
        <v>-2.3999999999996362</v>
      </c>
      <c r="M213" s="8">
        <v>-2.4093845528329206E-2</v>
      </c>
      <c r="N213" s="8">
        <v>8586718635</v>
      </c>
      <c r="O213" s="8">
        <v>550653931</v>
      </c>
      <c r="P213" s="8">
        <v>6.8522834407481641</v>
      </c>
    </row>
    <row r="214" spans="1:16" x14ac:dyDescent="0.35">
      <c r="A214" s="6">
        <v>43877</v>
      </c>
      <c r="B214" s="8">
        <v>4193.3</v>
      </c>
      <c r="C214" s="8">
        <v>137.45000000000027</v>
      </c>
      <c r="D214" s="8">
        <v>3.3889320364411968</v>
      </c>
      <c r="E214" s="8">
        <v>503383</v>
      </c>
      <c r="F214" s="8">
        <v>402855</v>
      </c>
      <c r="G214" s="8">
        <v>400.73909756485756</v>
      </c>
      <c r="J214" s="6">
        <v>43877</v>
      </c>
      <c r="K214" s="8">
        <v>9961.0499999999993</v>
      </c>
      <c r="L214" s="8">
        <v>-39.700000000000728</v>
      </c>
      <c r="M214" s="8">
        <v>-0.39697022723296482</v>
      </c>
      <c r="N214" s="8">
        <v>8036064704</v>
      </c>
      <c r="O214" s="8">
        <v>446534905</v>
      </c>
      <c r="P214" s="8">
        <v>5.8835648166087395</v>
      </c>
    </row>
    <row r="215" spans="1:16" x14ac:dyDescent="0.35">
      <c r="A215" s="6">
        <v>43870</v>
      </c>
      <c r="B215" s="8">
        <v>4055.85</v>
      </c>
      <c r="C215" s="8">
        <v>-3.4500000000002728</v>
      </c>
      <c r="D215" s="8">
        <v>-8.4990022910360716E-2</v>
      </c>
      <c r="E215" s="8">
        <v>100528</v>
      </c>
      <c r="F215" s="8">
        <v>-111879</v>
      </c>
      <c r="G215" s="8">
        <v>-52.671992919254073</v>
      </c>
      <c r="J215" s="6">
        <v>43870</v>
      </c>
      <c r="K215" s="8">
        <v>10000.75</v>
      </c>
      <c r="L215" s="8">
        <v>394.70000000000073</v>
      </c>
      <c r="M215" s="8">
        <v>4.108868889918341</v>
      </c>
      <c r="N215" s="8">
        <v>7589529799</v>
      </c>
      <c r="O215" s="8">
        <v>-1223418853</v>
      </c>
      <c r="P215" s="8">
        <v>-13.882060378535835</v>
      </c>
    </row>
    <row r="216" spans="1:16" x14ac:dyDescent="0.35">
      <c r="A216" s="6">
        <v>43863</v>
      </c>
      <c r="B216" s="8">
        <v>4059.3</v>
      </c>
      <c r="C216" s="8">
        <v>-106.80000000000018</v>
      </c>
      <c r="D216" s="8">
        <v>-2.5635486426153999</v>
      </c>
      <c r="E216" s="8">
        <v>212407</v>
      </c>
      <c r="F216" s="8">
        <v>101733</v>
      </c>
      <c r="G216" s="8">
        <v>91.921318466848589</v>
      </c>
      <c r="J216" s="6">
        <v>43863</v>
      </c>
      <c r="K216" s="8">
        <v>9606.0499999999993</v>
      </c>
      <c r="L216" s="8">
        <v>-477.65000000000146</v>
      </c>
      <c r="M216" s="8">
        <v>-4.7368525442050178</v>
      </c>
      <c r="N216" s="8">
        <v>8812948652</v>
      </c>
      <c r="O216" s="8">
        <v>-47276766</v>
      </c>
      <c r="P216" s="8">
        <v>-0.53358423482042383</v>
      </c>
    </row>
    <row r="217" spans="1:16" x14ac:dyDescent="0.35">
      <c r="A217" s="6">
        <v>43856</v>
      </c>
      <c r="B217" s="8">
        <v>4166.1000000000004</v>
      </c>
      <c r="C217" s="8">
        <v>115.60000000000036</v>
      </c>
      <c r="D217" s="8">
        <v>2.853968645846201</v>
      </c>
      <c r="E217" s="8">
        <v>110674</v>
      </c>
      <c r="F217" s="8">
        <v>39438</v>
      </c>
      <c r="G217" s="8">
        <v>55.3624571845696</v>
      </c>
      <c r="J217" s="6">
        <v>43856</v>
      </c>
      <c r="K217" s="8">
        <v>10083.700000000001</v>
      </c>
      <c r="L217" s="8">
        <v>-35</v>
      </c>
      <c r="M217" s="8">
        <v>-0.3458942354254993</v>
      </c>
      <c r="N217" s="8">
        <v>8860225418</v>
      </c>
      <c r="O217" s="8">
        <v>768631899</v>
      </c>
      <c r="P217" s="8">
        <v>9.4991412655018213</v>
      </c>
    </row>
    <row r="218" spans="1:16" x14ac:dyDescent="0.35">
      <c r="A218" s="6">
        <v>43849</v>
      </c>
      <c r="B218" s="8">
        <v>4050.5</v>
      </c>
      <c r="C218" s="8">
        <v>58</v>
      </c>
      <c r="D218" s="8">
        <v>1.4527238572323107</v>
      </c>
      <c r="E218" s="8">
        <v>71236</v>
      </c>
      <c r="F218" s="8">
        <v>-39536</v>
      </c>
      <c r="G218" s="8">
        <v>-35.691329938973745</v>
      </c>
      <c r="J218" s="6">
        <v>43849</v>
      </c>
      <c r="K218" s="8">
        <v>10118.700000000001</v>
      </c>
      <c r="L218" s="8">
        <v>140.70000000000073</v>
      </c>
      <c r="M218" s="8">
        <v>1.4101022248947759</v>
      </c>
      <c r="N218" s="8">
        <v>8091593519</v>
      </c>
      <c r="O218" s="8">
        <v>654903297</v>
      </c>
      <c r="P218" s="8">
        <v>8.8063812993392698</v>
      </c>
    </row>
    <row r="219" spans="1:16" x14ac:dyDescent="0.35">
      <c r="A219" s="6">
        <v>43842</v>
      </c>
      <c r="B219" s="8">
        <v>3992.5</v>
      </c>
      <c r="C219" s="8">
        <v>-206.39999999999964</v>
      </c>
      <c r="D219" s="8">
        <v>-4.9155731262949738</v>
      </c>
      <c r="E219" s="8">
        <v>110772</v>
      </c>
      <c r="F219" s="8">
        <v>-75758</v>
      </c>
      <c r="G219" s="8">
        <v>-40.614378384174124</v>
      </c>
      <c r="J219" s="6">
        <v>43842</v>
      </c>
      <c r="K219" s="8">
        <v>9978</v>
      </c>
      <c r="L219" s="8">
        <v>36.350000000000364</v>
      </c>
      <c r="M219" s="8">
        <v>0.36563347130506874</v>
      </c>
      <c r="N219" s="8">
        <v>7436690222</v>
      </c>
      <c r="O219" s="8">
        <v>1476973191</v>
      </c>
      <c r="P219" s="8">
        <v>24.78260600826167</v>
      </c>
    </row>
    <row r="220" spans="1:16" x14ac:dyDescent="0.35">
      <c r="A220" s="6">
        <v>43835</v>
      </c>
      <c r="B220" s="8">
        <v>4198.8999999999996</v>
      </c>
      <c r="C220" s="8">
        <v>33.949999999999818</v>
      </c>
      <c r="D220" s="8">
        <v>0.81513583596441297</v>
      </c>
      <c r="E220" s="8">
        <v>186530</v>
      </c>
      <c r="F220" s="8">
        <v>54053</v>
      </c>
      <c r="G220" s="8">
        <v>40.801799557659066</v>
      </c>
      <c r="J220" s="6">
        <v>43835</v>
      </c>
      <c r="K220" s="8">
        <v>9941.65</v>
      </c>
      <c r="L220" s="8">
        <v>32.949999999998909</v>
      </c>
      <c r="M220" s="8">
        <v>0.33253605417460319</v>
      </c>
      <c r="N220" s="8">
        <v>5959717031</v>
      </c>
      <c r="O220" s="8">
        <v>928394461</v>
      </c>
      <c r="P220" s="8">
        <v>18.452294562381834</v>
      </c>
    </row>
    <row r="221" spans="1:16" x14ac:dyDescent="0.35">
      <c r="A221" s="6">
        <v>43828</v>
      </c>
      <c r="B221" s="8">
        <v>4164.95</v>
      </c>
      <c r="C221" s="8">
        <v>-98.600000000000364</v>
      </c>
      <c r="D221" s="8">
        <v>-2.3126268016089964</v>
      </c>
      <c r="E221" s="8">
        <v>132477</v>
      </c>
      <c r="F221" s="8">
        <v>-21690</v>
      </c>
      <c r="G221" s="8">
        <v>-14.069158769386444</v>
      </c>
      <c r="J221" s="6">
        <v>43828</v>
      </c>
      <c r="K221" s="8">
        <v>9908.7000000000007</v>
      </c>
      <c r="L221" s="8">
        <v>3.3500000000003638</v>
      </c>
      <c r="M221" s="8">
        <v>3.382010731574718E-2</v>
      </c>
      <c r="N221" s="8">
        <v>5031322570</v>
      </c>
      <c r="O221" s="8">
        <v>-2529544463</v>
      </c>
      <c r="P221" s="8">
        <v>-33.455745907970659</v>
      </c>
    </row>
    <row r="222" spans="1:16" x14ac:dyDescent="0.35">
      <c r="A222" s="6">
        <v>43821</v>
      </c>
      <c r="B222" s="8">
        <v>4263.55</v>
      </c>
      <c r="C222" s="8">
        <v>-77.149999999999636</v>
      </c>
      <c r="D222" s="8">
        <v>-1.7773630981178068</v>
      </c>
      <c r="E222" s="8">
        <v>154167</v>
      </c>
      <c r="F222" s="8">
        <v>27077</v>
      </c>
      <c r="G222" s="8">
        <v>21.305374144307184</v>
      </c>
      <c r="J222" s="6">
        <v>43821</v>
      </c>
      <c r="K222" s="8">
        <v>9905.35</v>
      </c>
      <c r="L222" s="8">
        <v>121.75</v>
      </c>
      <c r="M222" s="8">
        <v>1.2444294533709472</v>
      </c>
      <c r="N222" s="8">
        <v>7560867033</v>
      </c>
      <c r="O222" s="8">
        <v>-912429332</v>
      </c>
      <c r="P222" s="8">
        <v>-10.768292441285334</v>
      </c>
    </row>
    <row r="223" spans="1:16" x14ac:dyDescent="0.35">
      <c r="A223" s="6">
        <v>43814</v>
      </c>
      <c r="B223" s="8">
        <v>4340.7</v>
      </c>
      <c r="C223" s="8">
        <v>29.550000000000182</v>
      </c>
      <c r="D223" s="8">
        <v>0.68543196130963169</v>
      </c>
      <c r="E223" s="8">
        <v>127090</v>
      </c>
      <c r="F223" s="8">
        <v>-181771</v>
      </c>
      <c r="G223" s="8">
        <v>-58.852040238165387</v>
      </c>
      <c r="J223" s="6">
        <v>43814</v>
      </c>
      <c r="K223" s="8">
        <v>9783.6</v>
      </c>
      <c r="L223" s="8">
        <v>114.20000000000073</v>
      </c>
      <c r="M223" s="8">
        <v>1.1810453595879862</v>
      </c>
      <c r="N223" s="8">
        <v>8473296365</v>
      </c>
      <c r="O223" s="8">
        <v>-2534469921</v>
      </c>
      <c r="P223" s="8">
        <v>-23.024379834657402</v>
      </c>
    </row>
    <row r="224" spans="1:16" x14ac:dyDescent="0.35">
      <c r="A224" s="6">
        <v>43807</v>
      </c>
      <c r="B224" s="8">
        <v>4311.1499999999996</v>
      </c>
      <c r="C224" s="8">
        <v>170.84999999999945</v>
      </c>
      <c r="D224" s="8">
        <v>4.1265125715527731</v>
      </c>
      <c r="E224" s="8">
        <v>308861</v>
      </c>
      <c r="F224" s="8">
        <v>164321</v>
      </c>
      <c r="G224" s="8">
        <v>113.68548498685485</v>
      </c>
      <c r="J224" s="6">
        <v>43807</v>
      </c>
      <c r="K224" s="8">
        <v>9669.4</v>
      </c>
      <c r="L224" s="8">
        <v>-144.25</v>
      </c>
      <c r="M224" s="8">
        <v>-1.4698914267372487</v>
      </c>
      <c r="N224" s="8">
        <v>11007766286</v>
      </c>
      <c r="O224" s="8">
        <v>-971942661</v>
      </c>
      <c r="P224" s="8">
        <v>-8.1132410253038518</v>
      </c>
    </row>
    <row r="225" spans="1:16" x14ac:dyDescent="0.35">
      <c r="A225" s="6">
        <v>43800</v>
      </c>
      <c r="B225" s="8">
        <v>4140.3</v>
      </c>
      <c r="C225" s="8">
        <v>106.40000000000009</v>
      </c>
      <c r="D225" s="8">
        <v>2.6376459505689307</v>
      </c>
      <c r="E225" s="8">
        <v>144540</v>
      </c>
      <c r="F225" s="8">
        <v>-119635</v>
      </c>
      <c r="G225" s="8">
        <v>-45.286268571969337</v>
      </c>
      <c r="J225" s="6">
        <v>43800</v>
      </c>
      <c r="K225" s="8">
        <v>9813.65</v>
      </c>
      <c r="L225" s="8">
        <v>134.35000000000036</v>
      </c>
      <c r="M225" s="8">
        <v>1.3880135960245097</v>
      </c>
      <c r="N225" s="8">
        <v>11979708947</v>
      </c>
      <c r="O225" s="8">
        <v>9132107</v>
      </c>
      <c r="P225" s="8">
        <v>7.6287944366096233E-2</v>
      </c>
    </row>
    <row r="226" spans="1:16" x14ac:dyDescent="0.35">
      <c r="A226" s="6">
        <v>43793</v>
      </c>
      <c r="B226" s="8">
        <v>4033.9</v>
      </c>
      <c r="C226" s="8">
        <v>53.150000000000091</v>
      </c>
      <c r="D226" s="8">
        <v>1.3351755322489502</v>
      </c>
      <c r="E226" s="8">
        <v>264175</v>
      </c>
      <c r="F226" s="8">
        <v>77653</v>
      </c>
      <c r="G226" s="8">
        <v>41.632086295450399</v>
      </c>
      <c r="J226" s="6">
        <v>43793</v>
      </c>
      <c r="K226" s="8">
        <v>9679.2999999999993</v>
      </c>
      <c r="L226" s="8">
        <v>12</v>
      </c>
      <c r="M226" s="8">
        <v>0.12412979839251911</v>
      </c>
      <c r="N226" s="8">
        <v>11970576840</v>
      </c>
      <c r="O226" s="8">
        <v>4369108165</v>
      </c>
      <c r="P226" s="8">
        <v>57.477158057222411</v>
      </c>
    </row>
    <row r="227" spans="1:16" x14ac:dyDescent="0.35">
      <c r="A227" s="6">
        <v>43786</v>
      </c>
      <c r="B227" s="8">
        <v>3980.75</v>
      </c>
      <c r="C227" s="8">
        <v>-44.449999999999818</v>
      </c>
      <c r="D227" s="8">
        <v>-1.1042929543873552</v>
      </c>
      <c r="E227" s="8">
        <v>186522</v>
      </c>
      <c r="F227" s="8">
        <v>44396</v>
      </c>
      <c r="G227" s="8">
        <v>31.237071331072428</v>
      </c>
      <c r="J227" s="6">
        <v>43786</v>
      </c>
      <c r="K227" s="8">
        <v>9667.2999999999993</v>
      </c>
      <c r="L227" s="8">
        <v>-16</v>
      </c>
      <c r="M227" s="8">
        <v>-0.16523292679148638</v>
      </c>
      <c r="N227" s="8">
        <v>7601468675</v>
      </c>
      <c r="O227" s="8">
        <v>-1428344181</v>
      </c>
      <c r="P227" s="8">
        <v>-15.818092841768193</v>
      </c>
    </row>
    <row r="228" spans="1:16" x14ac:dyDescent="0.35">
      <c r="A228" s="6">
        <v>43779</v>
      </c>
      <c r="B228" s="8">
        <v>4025.2</v>
      </c>
      <c r="C228" s="8">
        <v>16.649999999999636</v>
      </c>
      <c r="D228" s="8">
        <v>0.41536216337577514</v>
      </c>
      <c r="E228" s="8">
        <v>142126</v>
      </c>
      <c r="F228" s="8">
        <v>-301025</v>
      </c>
      <c r="G228" s="8">
        <v>-67.928313373996673</v>
      </c>
      <c r="J228" s="6">
        <v>43779</v>
      </c>
      <c r="K228" s="8">
        <v>9683.2999999999993</v>
      </c>
      <c r="L228" s="8">
        <v>-20.700000000000728</v>
      </c>
      <c r="M228" s="8">
        <v>-0.21331409727947989</v>
      </c>
      <c r="N228" s="8">
        <v>9029812856</v>
      </c>
      <c r="O228" s="8">
        <v>-629153487</v>
      </c>
      <c r="P228" s="8">
        <v>-6.5136730438651655</v>
      </c>
    </row>
    <row r="229" spans="1:16" x14ac:dyDescent="0.35">
      <c r="A229" s="6">
        <v>43772</v>
      </c>
      <c r="B229" s="8">
        <v>4008.55</v>
      </c>
      <c r="C229" s="8">
        <v>255.65000000000009</v>
      </c>
      <c r="D229" s="8">
        <v>6.8120653361400532</v>
      </c>
      <c r="E229" s="8">
        <v>443151</v>
      </c>
      <c r="F229" s="8">
        <v>103668</v>
      </c>
      <c r="G229" s="8">
        <v>30.537022472406573</v>
      </c>
      <c r="J229" s="6">
        <v>43772</v>
      </c>
      <c r="K229" s="8">
        <v>9704</v>
      </c>
      <c r="L229" s="8">
        <v>225.64999999999964</v>
      </c>
      <c r="M229" s="8">
        <v>2.3806886219647896</v>
      </c>
      <c r="N229" s="8">
        <v>9658966343</v>
      </c>
      <c r="O229" s="8">
        <v>1315161315</v>
      </c>
      <c r="P229" s="8">
        <v>15.762129035692995</v>
      </c>
    </row>
    <row r="230" spans="1:16" x14ac:dyDescent="0.35">
      <c r="A230" s="6">
        <v>43765</v>
      </c>
      <c r="B230" s="8">
        <v>3752.9</v>
      </c>
      <c r="C230" s="8">
        <v>530.95000000000027</v>
      </c>
      <c r="D230" s="8">
        <v>16.479150824811072</v>
      </c>
      <c r="E230" s="8">
        <v>339483</v>
      </c>
      <c r="F230" s="8">
        <v>245630</v>
      </c>
      <c r="G230" s="8">
        <v>261.71779271840006</v>
      </c>
      <c r="J230" s="6">
        <v>43765</v>
      </c>
      <c r="K230" s="8">
        <v>9478.35</v>
      </c>
      <c r="L230" s="8">
        <v>-0.8500000000003638</v>
      </c>
      <c r="M230" s="8">
        <v>-8.9670014347240663E-3</v>
      </c>
      <c r="N230" s="8">
        <v>8343805028</v>
      </c>
      <c r="O230" s="8">
        <v>-249752538</v>
      </c>
      <c r="P230" s="8">
        <v>-2.9062764295445462</v>
      </c>
    </row>
    <row r="231" spans="1:16" x14ac:dyDescent="0.35">
      <c r="A231" s="6">
        <v>43758</v>
      </c>
      <c r="B231" s="8">
        <v>3221.95</v>
      </c>
      <c r="C231" s="8">
        <v>90.149999999999636</v>
      </c>
      <c r="D231" s="8">
        <v>2.8785363050003077</v>
      </c>
      <c r="E231" s="8">
        <v>93853</v>
      </c>
      <c r="F231" s="8">
        <v>34726</v>
      </c>
      <c r="G231" s="8">
        <v>58.731205709743435</v>
      </c>
      <c r="J231" s="6">
        <v>43758</v>
      </c>
      <c r="K231" s="8">
        <v>9479.2000000000007</v>
      </c>
      <c r="L231" s="8">
        <v>317.80000000000109</v>
      </c>
      <c r="M231" s="8">
        <v>3.4689021328618019</v>
      </c>
      <c r="N231" s="8">
        <v>8593557566</v>
      </c>
      <c r="O231" s="8">
        <v>1863732523</v>
      </c>
      <c r="P231" s="8">
        <v>27.693625184781791</v>
      </c>
    </row>
    <row r="232" spans="1:16" x14ac:dyDescent="0.35">
      <c r="A232" s="6">
        <v>43751</v>
      </c>
      <c r="B232" s="8">
        <v>3131.8</v>
      </c>
      <c r="C232" s="8">
        <v>-30.5</v>
      </c>
      <c r="D232" s="8">
        <v>-0.9644878727508458</v>
      </c>
      <c r="E232" s="8">
        <v>59127</v>
      </c>
      <c r="F232" s="8">
        <v>-9923</v>
      </c>
      <c r="G232" s="8">
        <v>-14.370745836350471</v>
      </c>
      <c r="J232" s="6">
        <v>43751</v>
      </c>
      <c r="K232" s="8">
        <v>9161.4</v>
      </c>
      <c r="L232" s="8">
        <v>69.75</v>
      </c>
      <c r="M232" s="8">
        <v>0.76718747422085098</v>
      </c>
      <c r="N232" s="8">
        <v>6729825043</v>
      </c>
      <c r="O232" s="8">
        <v>-1598033549</v>
      </c>
      <c r="P232" s="8">
        <v>-19.189009171398766</v>
      </c>
    </row>
    <row r="233" spans="1:16" x14ac:dyDescent="0.35">
      <c r="A233" s="6">
        <v>43744</v>
      </c>
      <c r="B233" s="8">
        <v>3162.3</v>
      </c>
      <c r="C233" s="8">
        <v>-107.39999999999964</v>
      </c>
      <c r="D233" s="8">
        <v>-3.2847050188090541</v>
      </c>
      <c r="E233" s="8">
        <v>69050</v>
      </c>
      <c r="F233" s="8">
        <v>-223739</v>
      </c>
      <c r="G233" s="8">
        <v>-76.416463733268671</v>
      </c>
      <c r="J233" s="6">
        <v>43744</v>
      </c>
      <c r="K233" s="8">
        <v>9091.65</v>
      </c>
      <c r="L233" s="8">
        <v>-303.95000000000073</v>
      </c>
      <c r="M233" s="8">
        <v>-3.235024905274817</v>
      </c>
      <c r="N233" s="8">
        <v>8327858592</v>
      </c>
      <c r="O233" s="8">
        <v>-638563886</v>
      </c>
      <c r="P233" s="8">
        <v>-7.1217242726045908</v>
      </c>
    </row>
    <row r="234" spans="1:16" x14ac:dyDescent="0.35">
      <c r="A234" s="6">
        <v>43737</v>
      </c>
      <c r="B234" s="8">
        <v>3269.7</v>
      </c>
      <c r="C234" s="8">
        <v>1.8499999999999091</v>
      </c>
      <c r="D234" s="8">
        <v>5.6612145600315474E-2</v>
      </c>
      <c r="E234" s="8">
        <v>292789</v>
      </c>
      <c r="F234" s="8">
        <v>163544</v>
      </c>
      <c r="G234" s="8">
        <v>126.53797052110333</v>
      </c>
      <c r="J234" s="6">
        <v>43737</v>
      </c>
      <c r="K234" s="8">
        <v>9395.6</v>
      </c>
      <c r="L234" s="8">
        <v>165.10000000000036</v>
      </c>
      <c r="M234" s="8">
        <v>1.7886355018688085</v>
      </c>
      <c r="N234" s="8">
        <v>8966422478</v>
      </c>
      <c r="O234" s="8">
        <v>-85036045</v>
      </c>
      <c r="P234" s="8">
        <v>-0.93947339850170131</v>
      </c>
    </row>
    <row r="235" spans="1:16" x14ac:dyDescent="0.35">
      <c r="A235" s="6">
        <v>43730</v>
      </c>
      <c r="B235" s="8">
        <v>3267.85</v>
      </c>
      <c r="C235" s="8">
        <v>-19.349999999999909</v>
      </c>
      <c r="D235" s="8">
        <v>-0.5886468727184202</v>
      </c>
      <c r="E235" s="8">
        <v>129245</v>
      </c>
      <c r="F235" s="8">
        <v>7969</v>
      </c>
      <c r="G235" s="8">
        <v>6.570962102971734</v>
      </c>
      <c r="J235" s="6">
        <v>43730</v>
      </c>
      <c r="K235" s="8">
        <v>9230.5</v>
      </c>
      <c r="L235" s="8">
        <v>179.64999999999964</v>
      </c>
      <c r="M235" s="8">
        <v>1.9848964461901328</v>
      </c>
      <c r="N235" s="8">
        <v>9051458523</v>
      </c>
      <c r="O235" s="8">
        <v>3144696405</v>
      </c>
      <c r="P235" s="8">
        <v>53.238920785670281</v>
      </c>
    </row>
    <row r="236" spans="1:16" x14ac:dyDescent="0.35">
      <c r="A236" s="6">
        <v>43723</v>
      </c>
      <c r="B236" s="8">
        <v>3287.2</v>
      </c>
      <c r="C236" s="8">
        <v>265.75</v>
      </c>
      <c r="D236" s="8">
        <v>8.7954458951827768</v>
      </c>
      <c r="E236" s="8">
        <v>121276</v>
      </c>
      <c r="F236" s="8">
        <v>81556</v>
      </c>
      <c r="G236" s="8">
        <v>205.32729103726084</v>
      </c>
      <c r="J236" s="6">
        <v>43723</v>
      </c>
      <c r="K236" s="8">
        <v>9050.85</v>
      </c>
      <c r="L236" s="8">
        <v>130.45000000000073</v>
      </c>
      <c r="M236" s="8">
        <v>1.462378368683027</v>
      </c>
      <c r="N236" s="8">
        <v>5906762118</v>
      </c>
      <c r="O236" s="8">
        <v>745483392</v>
      </c>
      <c r="P236" s="8">
        <v>14.443773172811206</v>
      </c>
    </row>
    <row r="237" spans="1:16" x14ac:dyDescent="0.35">
      <c r="A237" s="6">
        <v>43716</v>
      </c>
      <c r="B237" s="8">
        <v>3021.45</v>
      </c>
      <c r="C237" s="8">
        <v>96.099999999999909</v>
      </c>
      <c r="D237" s="8">
        <v>3.2850769993334099</v>
      </c>
      <c r="E237" s="8">
        <v>39720</v>
      </c>
      <c r="F237" s="8">
        <v>-28677</v>
      </c>
      <c r="G237" s="8">
        <v>-41.927277512171585</v>
      </c>
      <c r="J237" s="6">
        <v>43716</v>
      </c>
      <c r="K237" s="8">
        <v>8920.4</v>
      </c>
      <c r="L237" s="8">
        <v>-57.149999999999636</v>
      </c>
      <c r="M237" s="8">
        <v>-0.63658793323345053</v>
      </c>
      <c r="N237" s="8">
        <v>5161278726</v>
      </c>
      <c r="O237" s="8">
        <v>-3103157860</v>
      </c>
      <c r="P237" s="8">
        <v>-37.548329250378252</v>
      </c>
    </row>
    <row r="238" spans="1:16" x14ac:dyDescent="0.35">
      <c r="A238" s="6">
        <v>43709</v>
      </c>
      <c r="B238" s="8">
        <v>2925.35</v>
      </c>
      <c r="C238" s="8">
        <v>25.150000000000091</v>
      </c>
      <c r="D238" s="8">
        <v>0.86718157368457671</v>
      </c>
      <c r="E238" s="8">
        <v>68397</v>
      </c>
      <c r="F238" s="8">
        <v>-67760</v>
      </c>
      <c r="G238" s="8">
        <v>-49.766078864839855</v>
      </c>
      <c r="J238" s="6">
        <v>43709</v>
      </c>
      <c r="K238" s="8">
        <v>8977.5499999999993</v>
      </c>
      <c r="L238" s="8">
        <v>187</v>
      </c>
      <c r="M238" s="8">
        <v>2.1272844133757274</v>
      </c>
      <c r="N238" s="8">
        <v>8264436586</v>
      </c>
      <c r="O238" s="8">
        <v>1123180588</v>
      </c>
      <c r="P238" s="8">
        <v>15.728053836951947</v>
      </c>
    </row>
    <row r="239" spans="1:16" x14ac:dyDescent="0.35">
      <c r="A239" s="6">
        <v>43702</v>
      </c>
      <c r="B239" s="8">
        <v>2900.2</v>
      </c>
      <c r="C239" s="8">
        <v>-102.45000000000027</v>
      </c>
      <c r="D239" s="8">
        <v>-3.411986078963591</v>
      </c>
      <c r="E239" s="8">
        <v>136157</v>
      </c>
      <c r="F239" s="8">
        <v>50329</v>
      </c>
      <c r="G239" s="8">
        <v>58.639371766789395</v>
      </c>
      <c r="J239" s="6">
        <v>43702</v>
      </c>
      <c r="K239" s="8">
        <v>8790.5499999999993</v>
      </c>
      <c r="L239" s="8">
        <v>-198.25</v>
      </c>
      <c r="M239" s="8">
        <v>-2.2055224279102887</v>
      </c>
      <c r="N239" s="8">
        <v>7141255998</v>
      </c>
      <c r="O239" s="8">
        <v>2781900528</v>
      </c>
      <c r="P239" s="8">
        <v>63.814491549137195</v>
      </c>
    </row>
    <row r="240" spans="1:16" x14ac:dyDescent="0.35">
      <c r="A240" s="6">
        <v>43695</v>
      </c>
      <c r="B240" s="8">
        <v>3002.65</v>
      </c>
      <c r="C240" s="8">
        <v>41.200000000000273</v>
      </c>
      <c r="D240" s="8">
        <v>1.3912103868037711</v>
      </c>
      <c r="E240" s="8">
        <v>85828</v>
      </c>
      <c r="F240" s="8">
        <v>-208452</v>
      </c>
      <c r="G240" s="8">
        <v>-70.83457931221966</v>
      </c>
      <c r="J240" s="6">
        <v>43695</v>
      </c>
      <c r="K240" s="8">
        <v>8988.7999999999993</v>
      </c>
      <c r="L240" s="8">
        <v>-57.75</v>
      </c>
      <c r="M240" s="8">
        <v>-0.63836490153705006</v>
      </c>
      <c r="N240" s="8">
        <v>4359355470</v>
      </c>
      <c r="O240" s="8">
        <v>-2843085924</v>
      </c>
      <c r="P240" s="8">
        <v>-39.473919584662433</v>
      </c>
    </row>
    <row r="241" spans="1:16" x14ac:dyDescent="0.35">
      <c r="A241" s="6">
        <v>43688</v>
      </c>
      <c r="B241" s="8">
        <v>2961.45</v>
      </c>
      <c r="C241" s="8">
        <v>-104.90000000000009</v>
      </c>
      <c r="D241" s="8">
        <v>-3.4210054299085262</v>
      </c>
      <c r="E241" s="8">
        <v>294280</v>
      </c>
      <c r="F241" s="8">
        <v>146949</v>
      </c>
      <c r="G241" s="8">
        <v>99.740719875654136</v>
      </c>
      <c r="J241" s="6">
        <v>43688</v>
      </c>
      <c r="K241" s="8">
        <v>9046.5499999999993</v>
      </c>
      <c r="L241" s="8">
        <v>102.59999999999854</v>
      </c>
      <c r="M241" s="8">
        <v>1.147144158900693</v>
      </c>
      <c r="N241" s="8">
        <v>7202441394</v>
      </c>
      <c r="O241" s="8">
        <v>-794752215</v>
      </c>
      <c r="P241" s="8">
        <v>-9.9378888877416944</v>
      </c>
    </row>
    <row r="242" spans="1:16" x14ac:dyDescent="0.35">
      <c r="A242" s="6">
        <v>43681</v>
      </c>
      <c r="B242" s="8">
        <v>3066.35</v>
      </c>
      <c r="C242" s="8">
        <v>-103.30000000000018</v>
      </c>
      <c r="D242" s="8">
        <v>-3.2590349092171116</v>
      </c>
      <c r="E242" s="8">
        <v>147331</v>
      </c>
      <c r="F242" s="8">
        <v>63959</v>
      </c>
      <c r="G242" s="8">
        <v>76.715204145276587</v>
      </c>
      <c r="J242" s="6">
        <v>43681</v>
      </c>
      <c r="K242" s="8">
        <v>8943.9500000000007</v>
      </c>
      <c r="L242" s="8">
        <v>-248.64999999999964</v>
      </c>
      <c r="M242" s="8">
        <v>-2.7048930661619086</v>
      </c>
      <c r="N242" s="8">
        <v>7997193609</v>
      </c>
      <c r="O242" s="8">
        <v>1413215313</v>
      </c>
      <c r="P242" s="8">
        <v>21.464458864613487</v>
      </c>
    </row>
    <row r="243" spans="1:16" x14ac:dyDescent="0.35">
      <c r="A243" s="6">
        <v>43674</v>
      </c>
      <c r="B243" s="8">
        <v>3169.65</v>
      </c>
      <c r="C243" s="8">
        <v>0.20000000000027285</v>
      </c>
      <c r="D243" s="8">
        <v>6.3102431021241183E-3</v>
      </c>
      <c r="E243" s="8">
        <v>83372</v>
      </c>
      <c r="F243" s="8">
        <v>10735</v>
      </c>
      <c r="G243" s="8">
        <v>14.778969395762489</v>
      </c>
      <c r="J243" s="6">
        <v>43674</v>
      </c>
      <c r="K243" s="8">
        <v>9192.6</v>
      </c>
      <c r="L243" s="8">
        <v>-112.04999999999927</v>
      </c>
      <c r="M243" s="8">
        <v>-1.2042365913817208</v>
      </c>
      <c r="N243" s="8">
        <v>6583978296</v>
      </c>
      <c r="O243" s="8">
        <v>603536247</v>
      </c>
      <c r="P243" s="8">
        <v>10.091833380459198</v>
      </c>
    </row>
    <row r="244" spans="1:16" x14ac:dyDescent="0.35">
      <c r="A244" s="6">
        <v>43667</v>
      </c>
      <c r="B244" s="8">
        <v>3169.45</v>
      </c>
      <c r="C244" s="8">
        <v>0.75</v>
      </c>
      <c r="D244" s="8">
        <v>2.3669012528797301E-2</v>
      </c>
      <c r="E244" s="8">
        <v>72637</v>
      </c>
      <c r="F244" s="8">
        <v>-8316</v>
      </c>
      <c r="G244" s="8">
        <v>-10.2726273269675</v>
      </c>
      <c r="J244" s="6">
        <v>43667</v>
      </c>
      <c r="K244" s="8">
        <v>9304.65</v>
      </c>
      <c r="L244" s="8">
        <v>-153.10000000000036</v>
      </c>
      <c r="M244" s="8">
        <v>-1.6187782506410124</v>
      </c>
      <c r="N244" s="8">
        <v>5980442049</v>
      </c>
      <c r="O244" s="8">
        <v>181218837</v>
      </c>
      <c r="P244" s="8">
        <v>3.1248812190055775</v>
      </c>
    </row>
    <row r="245" spans="1:16" x14ac:dyDescent="0.35">
      <c r="A245" s="6">
        <v>43660</v>
      </c>
      <c r="B245" s="8">
        <v>3168.7</v>
      </c>
      <c r="C245" s="8">
        <v>-218.65000000000009</v>
      </c>
      <c r="D245" s="8">
        <v>-6.4548983718836279</v>
      </c>
      <c r="E245" s="8">
        <v>80953</v>
      </c>
      <c r="F245" s="8">
        <v>-4035</v>
      </c>
      <c r="G245" s="8">
        <v>-4.7477290911658114</v>
      </c>
      <c r="J245" s="6">
        <v>43660</v>
      </c>
      <c r="K245" s="8">
        <v>9457.75</v>
      </c>
      <c r="L245" s="8">
        <v>-199.89999999999964</v>
      </c>
      <c r="M245" s="8">
        <v>-2.0698617158418418</v>
      </c>
      <c r="N245" s="8">
        <v>5799223212</v>
      </c>
      <c r="O245" s="8">
        <v>-84107450</v>
      </c>
      <c r="P245" s="8">
        <v>-1.4295890343754403</v>
      </c>
    </row>
    <row r="246" spans="1:16" x14ac:dyDescent="0.35">
      <c r="A246" s="6">
        <v>43653</v>
      </c>
      <c r="B246" s="8">
        <v>3387.35</v>
      </c>
      <c r="C246" s="8">
        <v>31.849999999999909</v>
      </c>
      <c r="D246" s="8">
        <v>0.94918790046192547</v>
      </c>
      <c r="E246" s="8">
        <v>84988</v>
      </c>
      <c r="F246" s="8">
        <v>6678</v>
      </c>
      <c r="G246" s="8">
        <v>8.5276465330098326</v>
      </c>
      <c r="J246" s="6">
        <v>43653</v>
      </c>
      <c r="K246" s="8">
        <v>9657.65</v>
      </c>
      <c r="L246" s="8">
        <v>-0.30000000000109139</v>
      </c>
      <c r="M246" s="8">
        <v>-3.1062492558057496E-3</v>
      </c>
      <c r="N246" s="8">
        <v>5883330662</v>
      </c>
      <c r="O246" s="8">
        <v>-1785491592</v>
      </c>
      <c r="P246" s="8">
        <v>-23.282474581656928</v>
      </c>
    </row>
    <row r="247" spans="1:16" x14ac:dyDescent="0.35">
      <c r="A247" s="6">
        <v>43646</v>
      </c>
      <c r="B247" s="8">
        <v>3355.5</v>
      </c>
      <c r="C247" s="8">
        <v>90.949999999999818</v>
      </c>
      <c r="D247" s="8">
        <v>2.7859888805501467</v>
      </c>
      <c r="E247" s="8">
        <v>78310</v>
      </c>
      <c r="F247" s="8">
        <v>2306</v>
      </c>
      <c r="G247" s="8">
        <v>3.0340508394295038</v>
      </c>
      <c r="J247" s="6">
        <v>43646</v>
      </c>
      <c r="K247" s="8">
        <v>9657.9500000000007</v>
      </c>
      <c r="L247" s="8">
        <v>76.350000000000364</v>
      </c>
      <c r="M247" s="8">
        <v>0.7968397762377929</v>
      </c>
      <c r="N247" s="8">
        <v>7668822254</v>
      </c>
      <c r="O247" s="8">
        <v>-275768577</v>
      </c>
      <c r="P247" s="8">
        <v>-3.4711488969821307</v>
      </c>
    </row>
    <row r="248" spans="1:16" x14ac:dyDescent="0.35">
      <c r="A248" s="6">
        <v>43639</v>
      </c>
      <c r="B248" s="8">
        <v>3264.55</v>
      </c>
      <c r="C248" s="8">
        <v>98.600000000000364</v>
      </c>
      <c r="D248" s="8">
        <v>3.1143890459419881</v>
      </c>
      <c r="E248" s="8">
        <v>76004</v>
      </c>
      <c r="F248" s="8">
        <v>8367</v>
      </c>
      <c r="G248" s="8">
        <v>12.370448127504178</v>
      </c>
      <c r="J248" s="6">
        <v>43639</v>
      </c>
      <c r="K248" s="8">
        <v>9581.6</v>
      </c>
      <c r="L248" s="8">
        <v>-88.350000000000364</v>
      </c>
      <c r="M248" s="8">
        <v>-0.91365518953045632</v>
      </c>
      <c r="N248" s="8">
        <v>7944590831</v>
      </c>
      <c r="O248" s="8">
        <v>1339840519</v>
      </c>
      <c r="P248" s="8">
        <v>20.28601318305218</v>
      </c>
    </row>
    <row r="249" spans="1:16" x14ac:dyDescent="0.35">
      <c r="A249" s="6">
        <v>43632</v>
      </c>
      <c r="B249" s="8">
        <v>3165.95</v>
      </c>
      <c r="C249" s="8">
        <v>0.59999999999990905</v>
      </c>
      <c r="D249" s="8">
        <v>1.895524981439364E-2</v>
      </c>
      <c r="E249" s="8">
        <v>67637</v>
      </c>
      <c r="F249" s="8">
        <v>22410</v>
      </c>
      <c r="G249" s="8">
        <v>49.550047537975104</v>
      </c>
      <c r="J249" s="6">
        <v>43632</v>
      </c>
      <c r="K249" s="8">
        <v>9669.9500000000007</v>
      </c>
      <c r="L249" s="8">
        <v>-65.899999999999636</v>
      </c>
      <c r="M249" s="8">
        <v>-0.67687977937211063</v>
      </c>
      <c r="N249" s="8">
        <v>6604750312</v>
      </c>
      <c r="O249" s="8">
        <v>1301798858</v>
      </c>
      <c r="P249" s="8">
        <v>24.548572041293291</v>
      </c>
    </row>
    <row r="250" spans="1:16" x14ac:dyDescent="0.35">
      <c r="A250" s="6">
        <v>43625</v>
      </c>
      <c r="B250" s="8">
        <v>3165.35</v>
      </c>
      <c r="C250" s="8">
        <v>-14.200000000000273</v>
      </c>
      <c r="D250" s="8">
        <v>-0.44660407919360512</v>
      </c>
      <c r="E250" s="8">
        <v>45227</v>
      </c>
      <c r="F250" s="8">
        <v>-47972</v>
      </c>
      <c r="G250" s="8">
        <v>-51.472655286000922</v>
      </c>
      <c r="J250" s="6">
        <v>43625</v>
      </c>
      <c r="K250" s="8">
        <v>9735.85</v>
      </c>
      <c r="L250" s="8">
        <v>-69.199999999998909</v>
      </c>
      <c r="M250" s="8">
        <v>-0.70575876716588815</v>
      </c>
      <c r="N250" s="8">
        <v>5302951454</v>
      </c>
      <c r="O250" s="8">
        <v>-2925404137</v>
      </c>
      <c r="P250" s="8">
        <v>-35.552718944229206</v>
      </c>
    </row>
    <row r="251" spans="1:16" x14ac:dyDescent="0.35">
      <c r="A251" s="6">
        <v>43618</v>
      </c>
      <c r="B251" s="8">
        <v>3179.55</v>
      </c>
      <c r="C251" s="8">
        <v>30.100000000000364</v>
      </c>
      <c r="D251" s="8">
        <v>0.95572242772548743</v>
      </c>
      <c r="E251" s="8">
        <v>93199</v>
      </c>
      <c r="F251" s="8">
        <v>-8768</v>
      </c>
      <c r="G251" s="8">
        <v>-8.5988604156246637</v>
      </c>
      <c r="J251" s="6">
        <v>43618</v>
      </c>
      <c r="K251" s="8">
        <v>9805.0499999999993</v>
      </c>
      <c r="L251" s="8">
        <v>83</v>
      </c>
      <c r="M251" s="8">
        <v>0.85372940892095805</v>
      </c>
      <c r="N251" s="8">
        <v>8228355591</v>
      </c>
      <c r="O251" s="8">
        <v>-66804171</v>
      </c>
      <c r="P251" s="8">
        <v>-0.80533917268271171</v>
      </c>
    </row>
    <row r="252" spans="1:16" x14ac:dyDescent="0.35">
      <c r="A252" s="6">
        <v>43611</v>
      </c>
      <c r="B252" s="8">
        <v>3149.45</v>
      </c>
      <c r="C252" s="8">
        <v>138.19999999999982</v>
      </c>
      <c r="D252" s="8">
        <v>4.5894562058945558</v>
      </c>
      <c r="E252" s="8">
        <v>101967</v>
      </c>
      <c r="F252" s="8">
        <v>53272</v>
      </c>
      <c r="G252" s="8">
        <v>109.3993223123524</v>
      </c>
      <c r="J252" s="6">
        <v>43611</v>
      </c>
      <c r="K252" s="8">
        <v>9722.0499999999993</v>
      </c>
      <c r="L252" s="8">
        <v>392.34999999999854</v>
      </c>
      <c r="M252" s="8">
        <v>4.2053870971199343</v>
      </c>
      <c r="N252" s="8">
        <v>8295159762</v>
      </c>
      <c r="O252" s="8">
        <v>1192190424</v>
      </c>
      <c r="P252" s="8">
        <v>16.784394909632088</v>
      </c>
    </row>
    <row r="253" spans="1:16" x14ac:dyDescent="0.35">
      <c r="A253" s="6">
        <v>43604</v>
      </c>
      <c r="B253" s="8">
        <v>3011.25</v>
      </c>
      <c r="C253" s="8">
        <v>-14.699999999999818</v>
      </c>
      <c r="D253" s="8">
        <v>-0.48579784860952163</v>
      </c>
      <c r="E253" s="8">
        <v>48695</v>
      </c>
      <c r="F253" s="8">
        <v>138</v>
      </c>
      <c r="G253" s="8">
        <v>0.28420207179191465</v>
      </c>
      <c r="J253" s="6">
        <v>43604</v>
      </c>
      <c r="K253" s="8">
        <v>9329.7000000000007</v>
      </c>
      <c r="L253" s="8">
        <v>39.5</v>
      </c>
      <c r="M253" s="8">
        <v>0.425179221114723</v>
      </c>
      <c r="N253" s="8">
        <v>7102969338</v>
      </c>
      <c r="O253" s="8">
        <v>448261829</v>
      </c>
      <c r="P253" s="8">
        <v>6.7360109876167966</v>
      </c>
    </row>
    <row r="254" spans="1:16" x14ac:dyDescent="0.35">
      <c r="A254" s="6">
        <v>43597</v>
      </c>
      <c r="B254" s="8">
        <v>3025.95</v>
      </c>
      <c r="C254" s="8">
        <v>-101.70000000000027</v>
      </c>
      <c r="D254" s="8">
        <v>-3.2516426070692139</v>
      </c>
      <c r="E254" s="8">
        <v>48557</v>
      </c>
      <c r="F254" s="8">
        <v>3467</v>
      </c>
      <c r="G254" s="8">
        <v>7.6890663118208025</v>
      </c>
      <c r="J254" s="6">
        <v>43597</v>
      </c>
      <c r="K254" s="8">
        <v>9290.2000000000007</v>
      </c>
      <c r="L254" s="8">
        <v>-334.34999999999854</v>
      </c>
      <c r="M254" s="8">
        <v>-3.4739286512096519</v>
      </c>
      <c r="N254" s="8">
        <v>6654707509</v>
      </c>
      <c r="O254" s="8">
        <v>2408962852</v>
      </c>
      <c r="P254" s="8">
        <v>56.738288489118624</v>
      </c>
    </row>
    <row r="255" spans="1:16" x14ac:dyDescent="0.35">
      <c r="A255" s="6">
        <v>43590</v>
      </c>
      <c r="B255" s="8">
        <v>3127.65</v>
      </c>
      <c r="C255" s="8">
        <v>-22.949999999999818</v>
      </c>
      <c r="D255" s="8">
        <v>-0.72843267948961532</v>
      </c>
      <c r="E255" s="8">
        <v>45090</v>
      </c>
      <c r="F255" s="8">
        <v>-3266</v>
      </c>
      <c r="G255" s="8">
        <v>-6.7540739515261805</v>
      </c>
      <c r="J255" s="6">
        <v>43590</v>
      </c>
      <c r="K255" s="8">
        <v>9624.5499999999993</v>
      </c>
      <c r="L255" s="8">
        <v>-65.150000000001455</v>
      </c>
      <c r="M255" s="8">
        <v>-0.67236343746453919</v>
      </c>
      <c r="N255" s="8">
        <v>4245744657</v>
      </c>
      <c r="O255" s="8">
        <v>-2297217493</v>
      </c>
      <c r="P255" s="8">
        <v>-35.109747547599675</v>
      </c>
    </row>
    <row r="256" spans="1:16" x14ac:dyDescent="0.35">
      <c r="A256" s="6">
        <v>43583</v>
      </c>
      <c r="B256" s="8">
        <v>3150.6</v>
      </c>
      <c r="C256" s="8">
        <v>-70.950000000000273</v>
      </c>
      <c r="D256" s="8">
        <v>-2.2023560087535587</v>
      </c>
      <c r="E256" s="8">
        <v>48356</v>
      </c>
      <c r="F256" s="8">
        <v>11961</v>
      </c>
      <c r="G256" s="8">
        <v>32.864404451160873</v>
      </c>
      <c r="J256" s="6">
        <v>43583</v>
      </c>
      <c r="K256" s="8">
        <v>9689.7000000000007</v>
      </c>
      <c r="L256" s="8">
        <v>-49</v>
      </c>
      <c r="M256" s="8">
        <v>-0.50314723731093469</v>
      </c>
      <c r="N256" s="8">
        <v>6542962150</v>
      </c>
      <c r="O256" s="8">
        <v>2475436722</v>
      </c>
      <c r="P256" s="8">
        <v>60.858543254815515</v>
      </c>
    </row>
    <row r="257" spans="1:16" x14ac:dyDescent="0.35">
      <c r="A257" s="6">
        <v>43576</v>
      </c>
      <c r="B257" s="8">
        <v>3221.55</v>
      </c>
      <c r="C257" s="8">
        <v>-39.099999999999909</v>
      </c>
      <c r="D257" s="8">
        <v>-1.1991474092588872</v>
      </c>
      <c r="E257" s="8">
        <v>36395</v>
      </c>
      <c r="F257" s="8">
        <v>-8231</v>
      </c>
      <c r="G257" s="8">
        <v>-18.444404607179671</v>
      </c>
      <c r="J257" s="6">
        <v>43576</v>
      </c>
      <c r="K257" s="8">
        <v>9738.7000000000007</v>
      </c>
      <c r="L257" s="8">
        <v>64.100000000000364</v>
      </c>
      <c r="M257" s="8">
        <v>0.66255969239038681</v>
      </c>
      <c r="N257" s="8">
        <v>4067525428</v>
      </c>
      <c r="O257" s="8">
        <v>-2154028462</v>
      </c>
      <c r="P257" s="8">
        <v>-34.622033339005604</v>
      </c>
    </row>
    <row r="258" spans="1:16" x14ac:dyDescent="0.35">
      <c r="A258" s="6">
        <v>43569</v>
      </c>
      <c r="B258" s="8">
        <v>3260.65</v>
      </c>
      <c r="C258" s="8">
        <v>-35.5</v>
      </c>
      <c r="D258" s="8">
        <v>-1.0770140921984739</v>
      </c>
      <c r="E258" s="8">
        <v>44626</v>
      </c>
      <c r="F258" s="8">
        <v>-16829</v>
      </c>
      <c r="G258" s="8">
        <v>-27.384264909283214</v>
      </c>
      <c r="J258" s="6">
        <v>43569</v>
      </c>
      <c r="K258" s="8">
        <v>9674.6</v>
      </c>
      <c r="L258" s="8">
        <v>-10.350000000000364</v>
      </c>
      <c r="M258" s="8">
        <v>-0.1068668397875091</v>
      </c>
      <c r="N258" s="8">
        <v>6221553890</v>
      </c>
      <c r="O258" s="8">
        <v>-1211356796</v>
      </c>
      <c r="P258" s="8">
        <v>-16.297206399662638</v>
      </c>
    </row>
    <row r="259" spans="1:16" x14ac:dyDescent="0.35">
      <c r="A259" s="6">
        <v>43562</v>
      </c>
      <c r="B259" s="8">
        <v>3296.15</v>
      </c>
      <c r="C259" s="8">
        <v>-29.849999999999909</v>
      </c>
      <c r="D259" s="8">
        <v>-0.89747444377630514</v>
      </c>
      <c r="E259" s="8">
        <v>61455</v>
      </c>
      <c r="F259" s="8">
        <v>-74597</v>
      </c>
      <c r="G259" s="8">
        <v>-54.829770969923267</v>
      </c>
      <c r="J259" s="6">
        <v>43562</v>
      </c>
      <c r="K259" s="8">
        <v>9684.9500000000007</v>
      </c>
      <c r="L259" s="8">
        <v>21.25</v>
      </c>
      <c r="M259" s="8">
        <v>0.21989507124600308</v>
      </c>
      <c r="N259" s="8">
        <v>7432910686</v>
      </c>
      <c r="O259" s="8">
        <v>-632500790</v>
      </c>
      <c r="P259" s="8">
        <v>-7.842139137998271</v>
      </c>
    </row>
    <row r="260" spans="1:16" x14ac:dyDescent="0.35">
      <c r="A260" s="6">
        <v>43555</v>
      </c>
      <c r="B260" s="8">
        <v>3326</v>
      </c>
      <c r="C260" s="8">
        <v>126.19999999999982</v>
      </c>
      <c r="D260" s="8">
        <v>3.9439964997812305</v>
      </c>
      <c r="E260" s="8">
        <v>136052</v>
      </c>
      <c r="F260" s="8">
        <v>66855</v>
      </c>
      <c r="G260" s="8">
        <v>96.615460207812475</v>
      </c>
      <c r="J260" s="6">
        <v>43555</v>
      </c>
      <c r="K260" s="8">
        <v>9663.7000000000007</v>
      </c>
      <c r="L260" s="8">
        <v>163.65000000000146</v>
      </c>
      <c r="M260" s="8">
        <v>1.7226225125131074</v>
      </c>
      <c r="N260" s="8">
        <v>8065411476</v>
      </c>
      <c r="O260" s="8">
        <v>2012768332</v>
      </c>
      <c r="P260" s="8">
        <v>33.254369770589598</v>
      </c>
    </row>
    <row r="261" spans="1:16" x14ac:dyDescent="0.35">
      <c r="A261" s="6">
        <v>43548</v>
      </c>
      <c r="B261" s="8">
        <v>3199.8</v>
      </c>
      <c r="C261" s="8">
        <v>-0.1499999999996362</v>
      </c>
      <c r="D261" s="8">
        <v>-4.6875732433205586E-3</v>
      </c>
      <c r="E261" s="8">
        <v>69197</v>
      </c>
      <c r="F261" s="8">
        <v>-4303</v>
      </c>
      <c r="G261" s="8">
        <v>-5.8544217687074829</v>
      </c>
      <c r="J261" s="6">
        <v>43548</v>
      </c>
      <c r="K261" s="8">
        <v>9500.0499999999993</v>
      </c>
      <c r="L261" s="8">
        <v>0.6499999999996362</v>
      </c>
      <c r="M261" s="8">
        <v>6.842537423412386E-3</v>
      </c>
      <c r="N261" s="8">
        <v>6052643144</v>
      </c>
      <c r="O261" s="8">
        <v>-1764784664</v>
      </c>
      <c r="P261" s="8">
        <v>-22.575004302489365</v>
      </c>
    </row>
    <row r="262" spans="1:16" x14ac:dyDescent="0.35">
      <c r="A262" s="6">
        <v>43541</v>
      </c>
      <c r="B262" s="8">
        <v>3199.95</v>
      </c>
      <c r="C262" s="8">
        <v>-14.850000000000364</v>
      </c>
      <c r="D262" s="8">
        <v>-0.46192609182531924</v>
      </c>
      <c r="E262" s="8">
        <v>73500</v>
      </c>
      <c r="F262" s="8">
        <v>-11076</v>
      </c>
      <c r="G262" s="8">
        <v>-13.095913734392736</v>
      </c>
      <c r="J262" s="6">
        <v>43541</v>
      </c>
      <c r="K262" s="8">
        <v>9499.4</v>
      </c>
      <c r="L262" s="8">
        <v>288.35000000000036</v>
      </c>
      <c r="M262" s="8">
        <v>3.1304791527567475</v>
      </c>
      <c r="N262" s="8">
        <v>7817427808</v>
      </c>
      <c r="O262" s="8">
        <v>879026844</v>
      </c>
      <c r="P262" s="8">
        <v>12.669011902898728</v>
      </c>
    </row>
    <row r="263" spans="1:16" x14ac:dyDescent="0.35">
      <c r="A263" s="6">
        <v>43534</v>
      </c>
      <c r="B263" s="8">
        <v>3214.8</v>
      </c>
      <c r="C263" s="8">
        <v>-84.649999999999636</v>
      </c>
      <c r="D263" s="8">
        <v>-2.5655791116701159</v>
      </c>
      <c r="E263" s="8">
        <v>84576</v>
      </c>
      <c r="F263" s="8">
        <v>-110857</v>
      </c>
      <c r="G263" s="8">
        <v>-56.723787691945574</v>
      </c>
      <c r="J263" s="6">
        <v>43534</v>
      </c>
      <c r="K263" s="8">
        <v>9211.0499999999993</v>
      </c>
      <c r="L263" s="8">
        <v>173.54999999999927</v>
      </c>
      <c r="M263" s="8">
        <v>1.9203319502074607</v>
      </c>
      <c r="N263" s="8">
        <v>6938400964</v>
      </c>
      <c r="O263" s="8">
        <v>-863702602</v>
      </c>
      <c r="P263" s="8">
        <v>-11.070124802801162</v>
      </c>
    </row>
    <row r="264" spans="1:16" x14ac:dyDescent="0.35">
      <c r="A264" s="6">
        <v>43527</v>
      </c>
      <c r="B264" s="8">
        <v>3299.45</v>
      </c>
      <c r="C264" s="8">
        <v>293.75</v>
      </c>
      <c r="D264" s="8">
        <v>9.7730977808829902</v>
      </c>
      <c r="E264" s="8">
        <v>195433</v>
      </c>
      <c r="F264" s="8">
        <v>61814</v>
      </c>
      <c r="G264" s="8">
        <v>46.26138498267462</v>
      </c>
      <c r="J264" s="6">
        <v>43527</v>
      </c>
      <c r="K264" s="8">
        <v>9037.5</v>
      </c>
      <c r="L264" s="8">
        <v>117.75</v>
      </c>
      <c r="M264" s="8">
        <v>1.3201042630118558</v>
      </c>
      <c r="N264" s="8">
        <v>7802103566</v>
      </c>
      <c r="O264" s="8">
        <v>1117497332</v>
      </c>
      <c r="P264" s="8">
        <v>16.717474341511078</v>
      </c>
    </row>
    <row r="265" spans="1:16" x14ac:dyDescent="0.35">
      <c r="A265" s="6">
        <v>43520</v>
      </c>
      <c r="B265" s="8">
        <v>3005.7</v>
      </c>
      <c r="C265" s="8">
        <v>99.5</v>
      </c>
      <c r="D265" s="8">
        <v>3.4237148165989955</v>
      </c>
      <c r="E265" s="8">
        <v>133619</v>
      </c>
      <c r="F265" s="8">
        <v>24294</v>
      </c>
      <c r="G265" s="8">
        <v>22.221815687171279</v>
      </c>
      <c r="J265" s="6">
        <v>43520</v>
      </c>
      <c r="K265" s="8">
        <v>8919.75</v>
      </c>
      <c r="L265" s="8">
        <v>92.700000000000728</v>
      </c>
      <c r="M265" s="8">
        <v>1.0501809777898701</v>
      </c>
      <c r="N265" s="8">
        <v>6684606234</v>
      </c>
      <c r="O265" s="8">
        <v>-386109652</v>
      </c>
      <c r="P265" s="8">
        <v>-5.4606868416887764</v>
      </c>
    </row>
    <row r="266" spans="1:16" x14ac:dyDescent="0.35">
      <c r="A266" s="6">
        <v>43513</v>
      </c>
      <c r="B266" s="8">
        <v>2906.2</v>
      </c>
      <c r="C266" s="8">
        <v>-158.05000000000018</v>
      </c>
      <c r="D266" s="8">
        <v>-5.1578689728318574</v>
      </c>
      <c r="E266" s="8">
        <v>109325</v>
      </c>
      <c r="F266" s="8">
        <v>15347</v>
      </c>
      <c r="G266" s="8">
        <v>16.330417757347465</v>
      </c>
      <c r="J266" s="6">
        <v>43513</v>
      </c>
      <c r="K266" s="8">
        <v>8827.0499999999993</v>
      </c>
      <c r="L266" s="8">
        <v>-209.85000000000036</v>
      </c>
      <c r="M266" s="8">
        <v>-2.3221458686053889</v>
      </c>
      <c r="N266" s="8">
        <v>7070715886</v>
      </c>
      <c r="O266" s="8">
        <v>-1645274317</v>
      </c>
      <c r="P266" s="8">
        <v>-18.876504891362828</v>
      </c>
    </row>
    <row r="267" spans="1:16" x14ac:dyDescent="0.35">
      <c r="A267" s="6">
        <v>43506</v>
      </c>
      <c r="B267" s="8">
        <v>3064.25</v>
      </c>
      <c r="C267" s="8">
        <v>25</v>
      </c>
      <c r="D267" s="8">
        <v>0.82257135806531212</v>
      </c>
      <c r="E267" s="8">
        <v>93978</v>
      </c>
      <c r="F267" s="8">
        <v>-172201</v>
      </c>
      <c r="G267" s="8">
        <v>-64.693683573835656</v>
      </c>
      <c r="J267" s="6">
        <v>43506</v>
      </c>
      <c r="K267" s="8">
        <v>9036.9</v>
      </c>
      <c r="L267" s="8">
        <v>-19.399999999999636</v>
      </c>
      <c r="M267" s="8">
        <v>-0.21421551847884499</v>
      </c>
      <c r="N267" s="8">
        <v>8715990203</v>
      </c>
      <c r="O267" s="8">
        <v>1833157969</v>
      </c>
      <c r="P267" s="8">
        <v>26.633773811084875</v>
      </c>
    </row>
    <row r="268" spans="1:16" x14ac:dyDescent="0.35">
      <c r="A268" s="6">
        <v>43499</v>
      </c>
      <c r="B268" s="8">
        <v>3039.25</v>
      </c>
      <c r="C268" s="8">
        <v>276.59999999999991</v>
      </c>
      <c r="D268" s="8">
        <v>10.012126038405151</v>
      </c>
      <c r="E268" s="8">
        <v>266179</v>
      </c>
      <c r="F268" s="8">
        <v>56920</v>
      </c>
      <c r="G268" s="8">
        <v>27.200741664635689</v>
      </c>
      <c r="J268" s="6">
        <v>43499</v>
      </c>
      <c r="K268" s="8">
        <v>9056.2999999999993</v>
      </c>
      <c r="L268" s="8">
        <v>61.949999999998909</v>
      </c>
      <c r="M268" s="8">
        <v>0.68876572514966516</v>
      </c>
      <c r="N268" s="8">
        <v>6882832234</v>
      </c>
      <c r="O268" s="8">
        <v>1650788954</v>
      </c>
      <c r="P268" s="8">
        <v>31.551515644190161</v>
      </c>
    </row>
    <row r="269" spans="1:16" x14ac:dyDescent="0.35">
      <c r="A269" s="6">
        <v>43492</v>
      </c>
      <c r="B269" s="8">
        <v>2762.65</v>
      </c>
      <c r="C269" s="8">
        <v>98.200000000000273</v>
      </c>
      <c r="D269" s="8">
        <v>3.6855636247630947</v>
      </c>
      <c r="E269" s="8">
        <v>209259</v>
      </c>
      <c r="F269" s="8">
        <v>111486</v>
      </c>
      <c r="G269" s="8">
        <v>114.02534442023871</v>
      </c>
      <c r="J269" s="6">
        <v>43492</v>
      </c>
      <c r="K269" s="8">
        <v>8994.35</v>
      </c>
      <c r="L269" s="8">
        <v>-145.75</v>
      </c>
      <c r="M269" s="8">
        <v>-1.5946215030470126</v>
      </c>
      <c r="N269" s="8">
        <v>5232043280</v>
      </c>
      <c r="O269" s="8">
        <v>406729710</v>
      </c>
      <c r="P269" s="8">
        <v>8.4290835009920411</v>
      </c>
    </row>
    <row r="270" spans="1:16" x14ac:dyDescent="0.35">
      <c r="A270" s="6">
        <v>43485</v>
      </c>
      <c r="B270" s="8">
        <v>2664.45</v>
      </c>
      <c r="C270" s="8">
        <v>-96.700000000000273</v>
      </c>
      <c r="D270" s="8">
        <v>-3.5021639534252129</v>
      </c>
      <c r="E270" s="8">
        <v>97773</v>
      </c>
      <c r="F270" s="8">
        <v>-73980</v>
      </c>
      <c r="G270" s="8">
        <v>-43.073483432603794</v>
      </c>
      <c r="J270" s="6">
        <v>43485</v>
      </c>
      <c r="K270" s="8">
        <v>9140.1</v>
      </c>
      <c r="L270" s="8">
        <v>41.899999999999636</v>
      </c>
      <c r="M270" s="8">
        <v>0.46053065441515501</v>
      </c>
      <c r="N270" s="8">
        <v>4825313570</v>
      </c>
      <c r="O270" s="8">
        <v>7113636</v>
      </c>
      <c r="P270" s="8">
        <v>0.14764094677354667</v>
      </c>
    </row>
    <row r="271" spans="1:16" x14ac:dyDescent="0.35">
      <c r="A271" s="6">
        <v>43478</v>
      </c>
      <c r="B271" s="8">
        <v>2761.15</v>
      </c>
      <c r="C271" s="8">
        <v>-16.099999999999909</v>
      </c>
      <c r="D271" s="8">
        <v>-0.57971014492753292</v>
      </c>
      <c r="E271" s="8">
        <v>171753</v>
      </c>
      <c r="F271" s="8">
        <v>-85499</v>
      </c>
      <c r="G271" s="8">
        <v>-33.235504485873776</v>
      </c>
      <c r="J271" s="6">
        <v>43478</v>
      </c>
      <c r="K271" s="8">
        <v>9098.2000000000007</v>
      </c>
      <c r="L271" s="8">
        <v>43.300000000001091</v>
      </c>
      <c r="M271" s="8">
        <v>0.47819412693680874</v>
      </c>
      <c r="N271" s="8">
        <v>4818199934</v>
      </c>
      <c r="O271" s="8">
        <v>-1653537</v>
      </c>
      <c r="P271" s="8">
        <v>-3.4306789821494967E-2</v>
      </c>
    </row>
    <row r="272" spans="1:16" x14ac:dyDescent="0.35">
      <c r="A272" s="6">
        <v>43471</v>
      </c>
      <c r="B272" s="8">
        <v>2777.25</v>
      </c>
      <c r="C272" s="8">
        <v>-19</v>
      </c>
      <c r="D272" s="8">
        <v>-0.67948144836835045</v>
      </c>
      <c r="E272" s="8">
        <v>257252</v>
      </c>
      <c r="F272" s="8">
        <v>158765</v>
      </c>
      <c r="G272" s="8">
        <v>161.2040167737874</v>
      </c>
      <c r="J272" s="6">
        <v>43471</v>
      </c>
      <c r="K272" s="8">
        <v>9054.9</v>
      </c>
      <c r="L272" s="8">
        <v>-97.649999999999636</v>
      </c>
      <c r="M272" s="8">
        <v>-1.0669157775701814</v>
      </c>
      <c r="N272" s="8">
        <v>4819853471</v>
      </c>
      <c r="O272" s="8">
        <v>215787079</v>
      </c>
      <c r="P272" s="8">
        <v>4.6868802625207673</v>
      </c>
    </row>
    <row r="273" spans="1:16" x14ac:dyDescent="0.35">
      <c r="A273" s="6">
        <v>43464</v>
      </c>
      <c r="B273" s="8">
        <v>2796.25</v>
      </c>
      <c r="C273" s="8">
        <v>-63.599999999999909</v>
      </c>
      <c r="D273" s="8">
        <v>-2.2238928615137126</v>
      </c>
      <c r="E273" s="8">
        <v>98487</v>
      </c>
      <c r="F273" s="8">
        <v>-52240</v>
      </c>
      <c r="G273" s="8">
        <v>-34.658687560954576</v>
      </c>
      <c r="J273" s="6">
        <v>43464</v>
      </c>
      <c r="K273" s="8">
        <v>9152.5499999999993</v>
      </c>
      <c r="L273" s="8">
        <v>70</v>
      </c>
      <c r="M273" s="8">
        <v>0.77070866661895621</v>
      </c>
      <c r="N273" s="8">
        <v>4604066392</v>
      </c>
      <c r="O273" s="8">
        <v>-1468071110</v>
      </c>
      <c r="P273" s="8">
        <v>-24.177171704633771</v>
      </c>
    </row>
    <row r="274" spans="1:16" x14ac:dyDescent="0.35">
      <c r="A274" s="6">
        <v>43457</v>
      </c>
      <c r="B274" s="8">
        <v>2859.85</v>
      </c>
      <c r="C274" s="8">
        <v>18.549999999999727</v>
      </c>
      <c r="D274" s="8">
        <v>0.6528701650652774</v>
      </c>
      <c r="E274" s="8">
        <v>150727</v>
      </c>
      <c r="F274" s="8">
        <v>50709</v>
      </c>
      <c r="G274" s="8">
        <v>50.699874022675921</v>
      </c>
      <c r="J274" s="6">
        <v>43457</v>
      </c>
      <c r="K274" s="8">
        <v>9082.5499999999993</v>
      </c>
      <c r="L274" s="8">
        <v>-8.75</v>
      </c>
      <c r="M274" s="8">
        <v>-9.6245861427958601E-2</v>
      </c>
      <c r="N274" s="8">
        <v>6072137502</v>
      </c>
      <c r="O274" s="8">
        <v>-122761633</v>
      </c>
      <c r="P274" s="8">
        <v>-1.9816566876193376</v>
      </c>
    </row>
    <row r="275" spans="1:16" x14ac:dyDescent="0.35">
      <c r="A275" s="6">
        <v>43450</v>
      </c>
      <c r="B275" s="8">
        <v>2841.3</v>
      </c>
      <c r="C275" s="8"/>
      <c r="D275" s="8"/>
      <c r="E275" s="8">
        <v>100018</v>
      </c>
      <c r="F275" s="8"/>
      <c r="G275" s="8"/>
      <c r="J275" s="6">
        <v>43450</v>
      </c>
      <c r="K275" s="8">
        <v>9091.2999999999993</v>
      </c>
      <c r="L275" s="8"/>
      <c r="M275" s="8"/>
      <c r="N275" s="8">
        <v>6194899135</v>
      </c>
      <c r="O275" s="8"/>
      <c r="P27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C67B-1031-40D6-B489-07B19A0D6A28}">
  <dimension ref="B7:AN274"/>
  <sheetViews>
    <sheetView topLeftCell="A4" workbookViewId="0">
      <selection activeCell="E11" sqref="E11"/>
    </sheetView>
  </sheetViews>
  <sheetFormatPr defaultColWidth="11.6328125" defaultRowHeight="14.5" x14ac:dyDescent="0.35"/>
  <cols>
    <col min="1" max="2" width="11.6328125" style="10"/>
    <col min="3" max="3" width="17.26953125" style="10" customWidth="1"/>
    <col min="4" max="7" width="11.6328125" style="10"/>
    <col min="8" max="8" width="18.81640625" style="10" customWidth="1"/>
    <col min="9" max="12" width="11.6328125" style="10"/>
    <col min="13" max="13" width="16.1796875" style="10" customWidth="1"/>
    <col min="14" max="17" width="11.6328125" style="10"/>
    <col min="18" max="18" width="16.54296875" style="10" customWidth="1"/>
    <col min="19" max="22" width="11.6328125" style="10"/>
    <col min="23" max="23" width="18.81640625" style="10" customWidth="1"/>
    <col min="24" max="27" width="11.6328125" style="10"/>
    <col min="28" max="28" width="15.1796875" style="10" customWidth="1"/>
    <col min="29" max="32" width="11.6328125" style="10"/>
    <col min="33" max="33" width="15.453125" style="10" customWidth="1"/>
    <col min="34" max="37" width="11.6328125" style="10"/>
    <col min="38" max="38" width="15.26953125" style="10" customWidth="1"/>
    <col min="39" max="16384" width="11.6328125" style="10"/>
  </cols>
  <sheetData>
    <row r="7" spans="2:40" x14ac:dyDescent="0.35">
      <c r="B7" s="5" t="s">
        <v>41</v>
      </c>
      <c r="C7" s="8"/>
      <c r="G7" s="5" t="s">
        <v>0</v>
      </c>
      <c r="H7" s="14" t="s">
        <v>57</v>
      </c>
      <c r="L7" s="5" t="s">
        <v>42</v>
      </c>
      <c r="M7" s="8"/>
      <c r="Q7" s="5" t="s">
        <v>43</v>
      </c>
      <c r="R7" s="8"/>
      <c r="V7" s="5" t="s">
        <v>44</v>
      </c>
      <c r="W7" s="8"/>
      <c r="AA7" s="5" t="s">
        <v>45</v>
      </c>
      <c r="AB7" s="8"/>
      <c r="AF7" s="5" t="s">
        <v>46</v>
      </c>
      <c r="AG7" s="8"/>
      <c r="AK7" s="5" t="s">
        <v>47</v>
      </c>
      <c r="AL7" s="8"/>
    </row>
    <row r="8" spans="2:40" x14ac:dyDescent="0.35">
      <c r="B8" s="5" t="s">
        <v>0</v>
      </c>
      <c r="C8" s="8" t="s">
        <v>48</v>
      </c>
      <c r="D8" s="5" t="s">
        <v>49</v>
      </c>
      <c r="E8" s="17">
        <v>0.63462951630259345</v>
      </c>
      <c r="F8" s="1"/>
      <c r="G8" s="5" t="s">
        <v>3</v>
      </c>
      <c r="H8" s="15">
        <v>43450</v>
      </c>
      <c r="I8" s="5" t="s">
        <v>49</v>
      </c>
      <c r="J8" s="5">
        <v>0.69720402997025421</v>
      </c>
      <c r="L8" s="5" t="s">
        <v>0</v>
      </c>
      <c r="M8" s="8" t="s">
        <v>50</v>
      </c>
      <c r="N8" s="5" t="s">
        <v>49</v>
      </c>
      <c r="O8" s="5">
        <v>0.36815109346922009</v>
      </c>
      <c r="Q8" s="5" t="s">
        <v>0</v>
      </c>
      <c r="R8" s="8" t="s">
        <v>51</v>
      </c>
      <c r="S8" s="5" t="s">
        <v>49</v>
      </c>
      <c r="T8" s="5">
        <v>0.33399081649396467</v>
      </c>
      <c r="V8" s="5" t="s">
        <v>0</v>
      </c>
      <c r="W8" s="8" t="s">
        <v>52</v>
      </c>
      <c r="X8" s="5" t="s">
        <v>49</v>
      </c>
      <c r="Y8" s="5">
        <v>0.46074946774059361</v>
      </c>
      <c r="AA8" s="5" t="s">
        <v>0</v>
      </c>
      <c r="AB8" s="8" t="s">
        <v>53</v>
      </c>
      <c r="AC8" s="5" t="s">
        <v>49</v>
      </c>
      <c r="AD8" s="5">
        <v>0.48305804178432948</v>
      </c>
      <c r="AF8" s="5" t="s">
        <v>0</v>
      </c>
      <c r="AG8" s="8" t="s">
        <v>54</v>
      </c>
      <c r="AH8" s="5" t="s">
        <v>49</v>
      </c>
      <c r="AI8" s="5">
        <v>0.72557292664404649</v>
      </c>
      <c r="AK8" s="5" t="s">
        <v>55</v>
      </c>
      <c r="AL8" s="8" t="s">
        <v>56</v>
      </c>
      <c r="AM8" s="5" t="s">
        <v>49</v>
      </c>
      <c r="AN8" s="5">
        <v>0.66249987817715483</v>
      </c>
    </row>
    <row r="9" spans="2:40" x14ac:dyDescent="0.35">
      <c r="B9" s="5" t="s">
        <v>3</v>
      </c>
      <c r="C9" s="11">
        <v>43450</v>
      </c>
      <c r="G9" s="5" t="s">
        <v>4</v>
      </c>
      <c r="H9" s="15">
        <v>45263</v>
      </c>
      <c r="L9" s="5" t="s">
        <v>3</v>
      </c>
      <c r="M9" s="11">
        <v>43450</v>
      </c>
      <c r="Q9" s="5" t="s">
        <v>3</v>
      </c>
      <c r="R9" s="11">
        <v>43450</v>
      </c>
      <c r="V9" s="5" t="s">
        <v>3</v>
      </c>
      <c r="W9" s="11">
        <v>43450</v>
      </c>
      <c r="AA9" s="5" t="s">
        <v>3</v>
      </c>
      <c r="AB9" s="11">
        <v>43450</v>
      </c>
      <c r="AF9" s="5" t="s">
        <v>3</v>
      </c>
      <c r="AG9" s="11">
        <v>43450</v>
      </c>
      <c r="AK9" s="5" t="s">
        <v>3</v>
      </c>
      <c r="AL9" s="11">
        <v>43450</v>
      </c>
    </row>
    <row r="10" spans="2:40" x14ac:dyDescent="0.35">
      <c r="B10" s="5" t="s">
        <v>4</v>
      </c>
      <c r="C10" s="11">
        <v>45263</v>
      </c>
      <c r="G10" s="5" t="s">
        <v>5</v>
      </c>
      <c r="H10" s="14" t="s">
        <v>6</v>
      </c>
      <c r="L10" s="5" t="s">
        <v>4</v>
      </c>
      <c r="M10" s="11">
        <v>45263</v>
      </c>
      <c r="Q10" s="5" t="s">
        <v>4</v>
      </c>
      <c r="R10" s="11">
        <v>45263</v>
      </c>
      <c r="V10" s="5" t="s">
        <v>4</v>
      </c>
      <c r="W10" s="11">
        <v>45263</v>
      </c>
      <c r="AA10" s="5" t="s">
        <v>4</v>
      </c>
      <c r="AB10" s="11">
        <v>45263</v>
      </c>
      <c r="AF10" s="5" t="s">
        <v>4</v>
      </c>
      <c r="AG10" s="11">
        <v>45263</v>
      </c>
      <c r="AK10" s="5" t="s">
        <v>4</v>
      </c>
      <c r="AL10" s="11">
        <v>45263</v>
      </c>
    </row>
    <row r="11" spans="2:40" x14ac:dyDescent="0.35">
      <c r="B11" s="5" t="s">
        <v>5</v>
      </c>
      <c r="C11" s="8" t="s">
        <v>6</v>
      </c>
      <c r="G11" s="5" t="s">
        <v>7</v>
      </c>
      <c r="H11" s="14" t="s">
        <v>8</v>
      </c>
      <c r="L11" s="5" t="s">
        <v>5</v>
      </c>
      <c r="M11" s="8" t="s">
        <v>6</v>
      </c>
      <c r="Q11" s="5" t="s">
        <v>5</v>
      </c>
      <c r="R11" s="8" t="s">
        <v>6</v>
      </c>
      <c r="V11" s="5" t="s">
        <v>5</v>
      </c>
      <c r="W11" s="8" t="s">
        <v>6</v>
      </c>
      <c r="AA11" s="5" t="s">
        <v>5</v>
      </c>
      <c r="AB11" s="8" t="s">
        <v>6</v>
      </c>
      <c r="AF11" s="5" t="s">
        <v>5</v>
      </c>
      <c r="AG11" s="8" t="s">
        <v>6</v>
      </c>
      <c r="AK11" s="5" t="s">
        <v>5</v>
      </c>
      <c r="AL11" s="8" t="s">
        <v>6</v>
      </c>
    </row>
    <row r="12" spans="2:40" x14ac:dyDescent="0.35">
      <c r="B12" s="5" t="s">
        <v>7</v>
      </c>
      <c r="C12" s="8" t="s">
        <v>8</v>
      </c>
      <c r="L12" s="5" t="s">
        <v>7</v>
      </c>
      <c r="M12" s="8" t="s">
        <v>8</v>
      </c>
      <c r="Q12" s="5" t="s">
        <v>7</v>
      </c>
      <c r="R12" s="8" t="s">
        <v>8</v>
      </c>
      <c r="V12" s="5" t="s">
        <v>7</v>
      </c>
      <c r="W12" s="8" t="s">
        <v>8</v>
      </c>
      <c r="AA12" s="5" t="s">
        <v>7</v>
      </c>
      <c r="AB12" s="8" t="s">
        <v>8</v>
      </c>
      <c r="AF12" s="5" t="s">
        <v>7</v>
      </c>
      <c r="AG12" s="8" t="s">
        <v>8</v>
      </c>
      <c r="AK12" s="5" t="s">
        <v>7</v>
      </c>
      <c r="AL12" s="8" t="s">
        <v>8</v>
      </c>
    </row>
    <row r="14" spans="2:40" x14ac:dyDescent="0.35">
      <c r="B14" s="8" t="s">
        <v>10</v>
      </c>
      <c r="C14" s="12" t="s">
        <v>11</v>
      </c>
      <c r="D14" s="8" t="s">
        <v>12</v>
      </c>
      <c r="E14" s="8" t="s">
        <v>13</v>
      </c>
      <c r="G14" s="14" t="s">
        <v>10</v>
      </c>
      <c r="H14" s="14" t="s">
        <v>11</v>
      </c>
      <c r="I14" s="14" t="s">
        <v>12</v>
      </c>
      <c r="J14" s="14" t="s">
        <v>13</v>
      </c>
      <c r="L14" s="8" t="s">
        <v>10</v>
      </c>
      <c r="M14" s="8" t="s">
        <v>11</v>
      </c>
      <c r="N14" s="8" t="s">
        <v>12</v>
      </c>
      <c r="O14" s="8" t="s">
        <v>13</v>
      </c>
      <c r="Q14" s="8" t="s">
        <v>10</v>
      </c>
      <c r="R14" s="8" t="s">
        <v>11</v>
      </c>
      <c r="S14" s="8" t="s">
        <v>12</v>
      </c>
      <c r="T14" s="8" t="s">
        <v>13</v>
      </c>
      <c r="V14" s="8" t="s">
        <v>10</v>
      </c>
      <c r="W14" s="8" t="s">
        <v>11</v>
      </c>
      <c r="X14" s="8" t="s">
        <v>12</v>
      </c>
      <c r="Y14" s="8" t="s">
        <v>13</v>
      </c>
      <c r="AA14" s="8" t="s">
        <v>10</v>
      </c>
      <c r="AB14" s="8" t="s">
        <v>11</v>
      </c>
      <c r="AC14" s="8" t="s">
        <v>12</v>
      </c>
      <c r="AD14" s="8" t="s">
        <v>13</v>
      </c>
      <c r="AF14" s="8" t="s">
        <v>10</v>
      </c>
      <c r="AG14" s="8" t="s">
        <v>11</v>
      </c>
      <c r="AH14" s="8" t="s">
        <v>12</v>
      </c>
      <c r="AI14" s="8" t="s">
        <v>13</v>
      </c>
      <c r="AK14" s="8" t="s">
        <v>10</v>
      </c>
      <c r="AL14" s="8" t="s">
        <v>11</v>
      </c>
      <c r="AM14" s="8" t="s">
        <v>12</v>
      </c>
      <c r="AN14" s="8" t="s">
        <v>13</v>
      </c>
    </row>
    <row r="15" spans="2:40" x14ac:dyDescent="0.35">
      <c r="B15" s="13" t="e">
        <f ca="1">_xll.BDH(C8,C14,C9,C10,"Dir=V","Dts=S","Sort=D","Quote=C","QtTyp=P","Days=T",CONCATENATE("Per=c",C11),"DtFmt=D","UseDPDF=Y",CONCATENATE("FX=",C12),"cols=2;rows=260")</f>
        <v>#NAME?</v>
      </c>
      <c r="C15" s="8">
        <v>1231.25</v>
      </c>
      <c r="D15" s="8">
        <f t="shared" ref="D15:D269" si="0">IF(AND(ISNUMBER(C15),ISNUMBER(C16)), (C15 - C16), "")</f>
        <v>35.799999999999955</v>
      </c>
      <c r="E15" s="8">
        <f t="shared" ref="E15:E269" si="1">IF(AND(ISNUMBER(D15),ISNUMBER(C16)), (100*D15/ABS(C16)), "")</f>
        <v>2.9946881927307669</v>
      </c>
      <c r="G15" s="16" t="s">
        <v>58</v>
      </c>
      <c r="H15" s="14">
        <v>3792.7</v>
      </c>
      <c r="I15" s="8">
        <v>27.9</v>
      </c>
      <c r="J15" s="8">
        <v>0.74107522309999996</v>
      </c>
      <c r="L15" s="13" t="e">
        <f ca="1">_xll.BDH(M8,M14,M9,M10,"Dir=V","Dts=S","Sort=D","Quote=C","QtTyp=P","Days=T",CONCATENATE("Per=c",M11),"DtFmt=D","UseDPDF=Y",CONCATENATE("FX=",M12),"cols=2;rows=260")</f>
        <v>#NAME?</v>
      </c>
      <c r="M15" s="8">
        <v>1678.15</v>
      </c>
      <c r="N15" s="8">
        <f t="shared" ref="N15:N269" si="2">IF(AND(ISNUMBER(M15),ISNUMBER(M16)), (M15 - M16), "")</f>
        <v>33.400000000000091</v>
      </c>
      <c r="O15" s="8">
        <f t="shared" ref="O15:O269" si="3">IF(AND(ISNUMBER(N15),ISNUMBER(M16)), (100*N15/ABS(M16)), "")</f>
        <v>2.0307037543699704</v>
      </c>
      <c r="Q15" s="13" t="e">
        <f ca="1">_xll.BDH(R8,R14,R9,R10,"Dir=V","Dts=S","Sort=D","Quote=C","QtTyp=P","Days=T",CONCATENATE("Per=c",R11),"DtFmt=D","UseDPDF=Y",CONCATENATE("FX=",R12),"cols=2;rows=260")</f>
        <v>#NAME?</v>
      </c>
      <c r="R15" s="8">
        <v>23679.5</v>
      </c>
      <c r="S15" s="8">
        <f t="shared" ref="S15:S78" si="4">IF(AND(ISNUMBER(R15),ISNUMBER(R16)), (R15 - R16), "")</f>
        <v>-366.34999999999854</v>
      </c>
      <c r="T15" s="8">
        <f t="shared" ref="T15:T78" si="5">IF(AND(ISNUMBER(S15),ISNUMBER(R16)), (100*S15/ABS(R16)), "")</f>
        <v>-1.5235477223720457</v>
      </c>
      <c r="V15" s="13" t="e">
        <f ca="1">_xll.BDH(W8,W14,W9,W10,"Dir=V","Dts=S","Sort=D","Quote=C","QtTyp=P","Days=T",CONCATENATE("Per=c",W11),"DtFmt=D","UseDPDF=Y",CONCATENATE("FX=",W12),"cols=2;rows=260")</f>
        <v>#NAME?</v>
      </c>
      <c r="W15" s="8">
        <v>1205.7</v>
      </c>
      <c r="X15" s="8">
        <f t="shared" ref="X15:X269" si="6">IF(AND(ISNUMBER(W15),ISNUMBER(W16)), (W15 - W16), "")</f>
        <v>7.0499999999999545</v>
      </c>
      <c r="Y15" s="8">
        <f t="shared" ref="Y15:Y269" si="7">IF(AND(ISNUMBER(X15),ISNUMBER(W16)), (100*X15/ABS(W16)), "")</f>
        <v>0.58816168189212481</v>
      </c>
      <c r="AA15" s="13" t="e">
        <f ca="1">_xll.BDH(AB8,AB14,AB9,AB10,"Dir=V","Dts=S","Sort=D","Quote=C","QtTyp=P","Days=T",CONCATENATE("Per=c",AB11),"DtFmt=D","UseDPDF=Y",CONCATENATE("FX=",AB12),"cols=2;rows=260")</f>
        <v>#NAME?</v>
      </c>
      <c r="AB15" s="8">
        <v>5749.4</v>
      </c>
      <c r="AC15" s="8">
        <f t="shared" ref="AC15:AC269" si="8">IF(AND(ISNUMBER(AB15),ISNUMBER(AB16)), (AB15 - AB16), "")</f>
        <v>103.25</v>
      </c>
      <c r="AD15" s="8">
        <f t="shared" ref="AD15:AD269" si="9">IF(AND(ISNUMBER(AC15),ISNUMBER(AB16)), (100*AC15/ABS(AB16)), "")</f>
        <v>1.8286797198090736</v>
      </c>
      <c r="AF15" s="13" t="e">
        <f ca="1">_xll.BDH(AG8,AG14,AG9,AG10,"Dir=V","Dts=S","Sort=D","Quote=C","QtTyp=P","Days=T",CONCATENATE("Per=c",AG11),"DtFmt=D","UseDPDF=Y",CONCATENATE("FX=",AG12),"cols=2;rows=260")</f>
        <v>#NAME?</v>
      </c>
      <c r="AG15" s="8">
        <v>2743.05</v>
      </c>
      <c r="AH15" s="8">
        <f t="shared" ref="AH15:AH269" si="10">IF(AND(ISNUMBER(AG15),ISNUMBER(AG16)), (AG15 - AG16), "")</f>
        <v>55.550000000000182</v>
      </c>
      <c r="AI15" s="8">
        <f t="shared" ref="AI15:AI269" si="11">IF(AND(ISNUMBER(AH15),ISNUMBER(AG16)), (100*AH15/ABS(AG16)), "")</f>
        <v>2.0669767441860531</v>
      </c>
      <c r="AK15" s="13" t="e">
        <f ca="1">_xll.BDH(AL8,AL14,AL9,AL10,"Dir=V","Dts=S","Sort=D","Quote=C","QtTyp=P","Days=T",CONCATENATE("Per=c",AL11),"DtFmt=D","UseDPDF=Y",CONCATENATE("FX=",AL12),"cols=2;rows=260")</f>
        <v>#NAME?</v>
      </c>
      <c r="AL15" s="8">
        <v>240.65</v>
      </c>
      <c r="AM15" s="8">
        <f t="shared" ref="AM15:AM269" si="12">IF(AND(ISNUMBER(AL15),ISNUMBER(AL16)), (AL15 - AL16), "")</f>
        <v>5.3000000000000114</v>
      </c>
      <c r="AN15" s="8">
        <f t="shared" ref="AN15:AN269" si="13">IF(AND(ISNUMBER(AM15),ISNUMBER(AL16)), (100*AM15/ABS(AL16)), "")</f>
        <v>2.2519651582749147</v>
      </c>
    </row>
    <row r="16" spans="2:40" x14ac:dyDescent="0.35">
      <c r="B16" s="13">
        <v>45256</v>
      </c>
      <c r="C16" s="8">
        <v>1195.45</v>
      </c>
      <c r="D16" s="8">
        <f t="shared" si="0"/>
        <v>0.85000000000013642</v>
      </c>
      <c r="E16" s="8">
        <f t="shared" si="1"/>
        <v>7.1153524192209647E-2</v>
      </c>
      <c r="G16" s="16">
        <v>45256</v>
      </c>
      <c r="H16" s="14">
        <v>3764.8</v>
      </c>
      <c r="I16" s="8">
        <v>163.95</v>
      </c>
      <c r="J16" s="8">
        <v>4.553091631</v>
      </c>
      <c r="L16" s="13">
        <v>45256</v>
      </c>
      <c r="M16" s="8">
        <v>1644.75</v>
      </c>
      <c r="N16" s="8">
        <f t="shared" si="2"/>
        <v>68.099999999999909</v>
      </c>
      <c r="O16" s="8">
        <f t="shared" si="3"/>
        <v>4.3192845590333873</v>
      </c>
      <c r="Q16" s="13">
        <v>45256</v>
      </c>
      <c r="R16" s="8">
        <v>24045.85</v>
      </c>
      <c r="S16" s="8">
        <f t="shared" si="4"/>
        <v>420.34999999999854</v>
      </c>
      <c r="T16" s="8">
        <f t="shared" si="5"/>
        <v>1.7792216037755753</v>
      </c>
      <c r="V16" s="13">
        <v>45256</v>
      </c>
      <c r="W16" s="8">
        <v>1198.6500000000001</v>
      </c>
      <c r="X16" s="8">
        <f t="shared" si="6"/>
        <v>-50.75</v>
      </c>
      <c r="Y16" s="8">
        <f t="shared" si="7"/>
        <v>-4.0619497358732186</v>
      </c>
      <c r="AA16" s="13">
        <v>45256</v>
      </c>
      <c r="AB16" s="8">
        <v>5646.15</v>
      </c>
      <c r="AC16" s="8">
        <f t="shared" si="8"/>
        <v>34.599999999999454</v>
      </c>
      <c r="AD16" s="8">
        <f t="shared" si="9"/>
        <v>0.61658543539662758</v>
      </c>
      <c r="AF16" s="13">
        <v>45256</v>
      </c>
      <c r="AG16" s="8">
        <v>2687.5</v>
      </c>
      <c r="AH16" s="8">
        <f t="shared" si="10"/>
        <v>-11.25</v>
      </c>
      <c r="AI16" s="8">
        <f t="shared" si="11"/>
        <v>-0.41685965724872626</v>
      </c>
      <c r="AK16" s="13">
        <v>45256</v>
      </c>
      <c r="AL16" s="8">
        <v>235.35</v>
      </c>
      <c r="AM16" s="8">
        <f t="shared" si="12"/>
        <v>2.5999999999999943</v>
      </c>
      <c r="AN16" s="8">
        <f t="shared" si="13"/>
        <v>1.1170784103114906</v>
      </c>
    </row>
    <row r="17" spans="2:40" x14ac:dyDescent="0.35">
      <c r="B17" s="13">
        <v>45249</v>
      </c>
      <c r="C17" s="8">
        <v>1194.5999999999999</v>
      </c>
      <c r="D17" s="8">
        <f t="shared" si="0"/>
        <v>14</v>
      </c>
      <c r="E17" s="8">
        <f t="shared" si="1"/>
        <v>1.1858377096391666</v>
      </c>
      <c r="G17" s="16">
        <v>45249</v>
      </c>
      <c r="H17" s="14">
        <v>3600.85</v>
      </c>
      <c r="I17" s="8">
        <v>83.95</v>
      </c>
      <c r="J17" s="8">
        <v>2.3870454090000002</v>
      </c>
      <c r="L17" s="13">
        <v>45249</v>
      </c>
      <c r="M17" s="8">
        <v>1576.65</v>
      </c>
      <c r="N17" s="8">
        <f t="shared" si="2"/>
        <v>94.850000000000136</v>
      </c>
      <c r="O17" s="8">
        <f t="shared" si="3"/>
        <v>6.4009987852611792</v>
      </c>
      <c r="Q17" s="13">
        <v>45249</v>
      </c>
      <c r="R17" s="8">
        <v>23625.5</v>
      </c>
      <c r="S17" s="8">
        <f t="shared" si="4"/>
        <v>-190.34999999999854</v>
      </c>
      <c r="T17" s="8">
        <f t="shared" si="5"/>
        <v>-0.7992576372457777</v>
      </c>
      <c r="V17" s="13">
        <v>45249</v>
      </c>
      <c r="W17" s="8">
        <v>1249.4000000000001</v>
      </c>
      <c r="X17" s="8">
        <f t="shared" si="6"/>
        <v>5.4500000000000455</v>
      </c>
      <c r="Y17" s="8">
        <f t="shared" si="7"/>
        <v>0.43812050323566426</v>
      </c>
      <c r="AA17" s="13">
        <v>45249</v>
      </c>
      <c r="AB17" s="8">
        <v>5611.55</v>
      </c>
      <c r="AC17" s="8">
        <f t="shared" si="8"/>
        <v>161.80000000000018</v>
      </c>
      <c r="AD17" s="8">
        <f t="shared" si="9"/>
        <v>2.9689435295197062</v>
      </c>
      <c r="AF17" s="13">
        <v>45249</v>
      </c>
      <c r="AG17" s="8">
        <v>2698.75</v>
      </c>
      <c r="AH17" s="8">
        <f t="shared" si="10"/>
        <v>7.8000000000001819</v>
      </c>
      <c r="AI17" s="8">
        <f t="shared" si="11"/>
        <v>0.28986045820250034</v>
      </c>
      <c r="AK17" s="13">
        <v>45249</v>
      </c>
      <c r="AL17" s="8">
        <v>232.75</v>
      </c>
      <c r="AM17" s="8">
        <f t="shared" si="12"/>
        <v>-2.0500000000000114</v>
      </c>
      <c r="AN17" s="8">
        <f t="shared" si="13"/>
        <v>-0.87308347529813091</v>
      </c>
    </row>
    <row r="18" spans="2:40" x14ac:dyDescent="0.35">
      <c r="B18" s="13">
        <v>45242</v>
      </c>
      <c r="C18" s="8">
        <v>1180.5999999999999</v>
      </c>
      <c r="D18" s="8">
        <f t="shared" si="0"/>
        <v>39.5</v>
      </c>
      <c r="E18" s="8">
        <f t="shared" si="1"/>
        <v>3.4615721672070809</v>
      </c>
      <c r="G18" s="16">
        <v>45242</v>
      </c>
      <c r="H18" s="14">
        <v>3516.9</v>
      </c>
      <c r="I18" s="8">
        <v>166.2</v>
      </c>
      <c r="J18" s="8">
        <v>4.9601575789999997</v>
      </c>
      <c r="L18" s="13">
        <v>45242</v>
      </c>
      <c r="M18" s="8">
        <v>1481.8</v>
      </c>
      <c r="N18" s="8">
        <f t="shared" si="2"/>
        <v>76.649999999999864</v>
      </c>
      <c r="O18" s="8">
        <f t="shared" si="3"/>
        <v>5.4549336369782484</v>
      </c>
      <c r="Q18" s="13">
        <v>45242</v>
      </c>
      <c r="R18" s="8">
        <v>23815.85</v>
      </c>
      <c r="S18" s="8">
        <f t="shared" si="4"/>
        <v>1019.6999999999971</v>
      </c>
      <c r="T18" s="8">
        <f t="shared" si="5"/>
        <v>4.4731237511597222</v>
      </c>
      <c r="V18" s="13">
        <v>45242</v>
      </c>
      <c r="W18" s="8">
        <v>1243.95</v>
      </c>
      <c r="X18" s="8">
        <f t="shared" si="6"/>
        <v>37.600000000000136</v>
      </c>
      <c r="Y18" s="8">
        <f t="shared" si="7"/>
        <v>3.1168400547105017</v>
      </c>
      <c r="AA18" s="13">
        <v>45242</v>
      </c>
      <c r="AB18" s="8">
        <v>5449.75</v>
      </c>
      <c r="AC18" s="8">
        <f t="shared" si="8"/>
        <v>186.69999999999982</v>
      </c>
      <c r="AD18" s="8">
        <f t="shared" si="9"/>
        <v>3.5473727211407797</v>
      </c>
      <c r="AF18" s="13">
        <v>45242</v>
      </c>
      <c r="AG18" s="8">
        <v>2690.95</v>
      </c>
      <c r="AH18" s="8">
        <f t="shared" si="10"/>
        <v>96.299999999999727</v>
      </c>
      <c r="AI18" s="8">
        <f t="shared" si="11"/>
        <v>3.7114832443682086</v>
      </c>
      <c r="AK18" s="13">
        <v>45242</v>
      </c>
      <c r="AL18" s="8">
        <v>234.8</v>
      </c>
      <c r="AM18" s="8">
        <f t="shared" si="12"/>
        <v>10.300000000000011</v>
      </c>
      <c r="AN18" s="8">
        <f t="shared" si="13"/>
        <v>4.5879732739420982</v>
      </c>
    </row>
    <row r="19" spans="2:40" x14ac:dyDescent="0.35">
      <c r="B19" s="13">
        <v>45235</v>
      </c>
      <c r="C19" s="8">
        <v>1141.0999999999999</v>
      </c>
      <c r="D19" s="8">
        <f t="shared" si="0"/>
        <v>29.799999999999955</v>
      </c>
      <c r="E19" s="8">
        <f t="shared" si="1"/>
        <v>2.6815441374966218</v>
      </c>
      <c r="G19" s="16">
        <v>45235</v>
      </c>
      <c r="H19" s="14">
        <v>3350.7</v>
      </c>
      <c r="I19" s="8">
        <v>-61.25</v>
      </c>
      <c r="J19" s="8">
        <v>-1.7951611249999999</v>
      </c>
      <c r="L19" s="13">
        <v>45235</v>
      </c>
      <c r="M19" s="8">
        <v>1405.15</v>
      </c>
      <c r="N19" s="8">
        <f t="shared" si="2"/>
        <v>-29.25</v>
      </c>
      <c r="O19" s="8">
        <f t="shared" si="3"/>
        <v>-2.0391801450083658</v>
      </c>
      <c r="Q19" s="13">
        <v>45235</v>
      </c>
      <c r="R19" s="8">
        <v>22796.15</v>
      </c>
      <c r="S19" s="8">
        <f t="shared" si="4"/>
        <v>125.45000000000073</v>
      </c>
      <c r="T19" s="8">
        <f t="shared" si="5"/>
        <v>0.55335741728310428</v>
      </c>
      <c r="V19" s="13">
        <v>45235</v>
      </c>
      <c r="W19" s="8">
        <v>1206.3499999999999</v>
      </c>
      <c r="X19" s="8">
        <f t="shared" si="6"/>
        <v>32.099999999999909</v>
      </c>
      <c r="Y19" s="8">
        <f t="shared" si="7"/>
        <v>2.7336597828401028</v>
      </c>
      <c r="AA19" s="13">
        <v>45235</v>
      </c>
      <c r="AB19" s="8">
        <v>5263.05</v>
      </c>
      <c r="AC19" s="8">
        <f t="shared" si="8"/>
        <v>-134.25</v>
      </c>
      <c r="AD19" s="8">
        <f t="shared" si="9"/>
        <v>-2.4873547885053635</v>
      </c>
      <c r="AF19" s="13">
        <v>45235</v>
      </c>
      <c r="AG19" s="8">
        <v>2594.65</v>
      </c>
      <c r="AH19" s="8">
        <f t="shared" si="10"/>
        <v>231.75</v>
      </c>
      <c r="AI19" s="8">
        <f t="shared" si="11"/>
        <v>9.8078632189258954</v>
      </c>
      <c r="AK19" s="13">
        <v>45235</v>
      </c>
      <c r="AL19" s="8">
        <v>224.5</v>
      </c>
      <c r="AM19" s="8">
        <f t="shared" si="12"/>
        <v>1.8000000000000114</v>
      </c>
      <c r="AN19" s="8">
        <f t="shared" si="13"/>
        <v>0.80826223619219195</v>
      </c>
    </row>
    <row r="20" spans="2:40" x14ac:dyDescent="0.35">
      <c r="B20" s="13">
        <v>45228</v>
      </c>
      <c r="C20" s="8">
        <v>1111.3</v>
      </c>
      <c r="D20" s="8">
        <f t="shared" si="0"/>
        <v>-30.900000000000091</v>
      </c>
      <c r="E20" s="8">
        <f t="shared" si="1"/>
        <v>-2.7053055506916555</v>
      </c>
      <c r="G20" s="16">
        <v>45228</v>
      </c>
      <c r="H20" s="14">
        <v>3411.95</v>
      </c>
      <c r="I20" s="8">
        <v>-142.35</v>
      </c>
      <c r="J20" s="8">
        <v>-4.0050080179999998</v>
      </c>
      <c r="L20" s="13">
        <v>45228</v>
      </c>
      <c r="M20" s="8">
        <v>1434.4</v>
      </c>
      <c r="N20" s="8">
        <f t="shared" si="2"/>
        <v>-90.849999999999909</v>
      </c>
      <c r="O20" s="8">
        <f t="shared" si="3"/>
        <v>-5.9564005900671964</v>
      </c>
      <c r="Q20" s="13">
        <v>45228</v>
      </c>
      <c r="R20" s="8">
        <v>22670.7</v>
      </c>
      <c r="S20" s="8">
        <f t="shared" si="4"/>
        <v>30.450000000000728</v>
      </c>
      <c r="T20" s="8">
        <f t="shared" si="5"/>
        <v>0.13449498128333709</v>
      </c>
      <c r="V20" s="13">
        <v>45228</v>
      </c>
      <c r="W20" s="8">
        <v>1174.25</v>
      </c>
      <c r="X20" s="8">
        <f t="shared" si="6"/>
        <v>-25.950000000000045</v>
      </c>
      <c r="Y20" s="8">
        <f t="shared" si="7"/>
        <v>-2.1621396433927718</v>
      </c>
      <c r="AA20" s="13">
        <v>45228</v>
      </c>
      <c r="AB20" s="8">
        <v>5397.3</v>
      </c>
      <c r="AC20" s="8">
        <f t="shared" si="8"/>
        <v>-172</v>
      </c>
      <c r="AD20" s="8">
        <f t="shared" si="9"/>
        <v>-3.0883593988472517</v>
      </c>
      <c r="AF20" s="13">
        <v>45228</v>
      </c>
      <c r="AG20" s="8">
        <v>2362.9</v>
      </c>
      <c r="AH20" s="8">
        <f t="shared" si="10"/>
        <v>-148.79999999999973</v>
      </c>
      <c r="AI20" s="8">
        <f t="shared" si="11"/>
        <v>-5.924274395827517</v>
      </c>
      <c r="AK20" s="13">
        <v>45228</v>
      </c>
      <c r="AL20" s="8">
        <v>222.7</v>
      </c>
      <c r="AM20" s="8">
        <f t="shared" si="12"/>
        <v>-8.25</v>
      </c>
      <c r="AN20" s="8">
        <f t="shared" si="13"/>
        <v>-3.5722017752760338</v>
      </c>
    </row>
    <row r="21" spans="2:40" x14ac:dyDescent="0.35">
      <c r="B21" s="13">
        <v>45221</v>
      </c>
      <c r="C21" s="8">
        <v>1142.2</v>
      </c>
      <c r="D21" s="8">
        <f t="shared" si="0"/>
        <v>-3.0999999999999091</v>
      </c>
      <c r="E21" s="8">
        <f t="shared" si="1"/>
        <v>-0.27067143979742508</v>
      </c>
      <c r="G21" s="16">
        <v>45221</v>
      </c>
      <c r="H21" s="14">
        <v>3554.3</v>
      </c>
      <c r="I21" s="8">
        <v>-181.05</v>
      </c>
      <c r="J21" s="8">
        <v>-4.8469353609999999</v>
      </c>
      <c r="L21" s="13">
        <v>45221</v>
      </c>
      <c r="M21" s="8">
        <v>1525.25</v>
      </c>
      <c r="N21" s="8">
        <f t="shared" si="2"/>
        <v>-2.5</v>
      </c>
      <c r="O21" s="8">
        <f t="shared" si="3"/>
        <v>-0.16363933889707086</v>
      </c>
      <c r="Q21" s="13">
        <v>45221</v>
      </c>
      <c r="R21" s="8">
        <v>22640.25</v>
      </c>
      <c r="S21" s="8">
        <f t="shared" si="4"/>
        <v>251</v>
      </c>
      <c r="T21" s="8">
        <f t="shared" si="5"/>
        <v>1.1210737295800439</v>
      </c>
      <c r="V21" s="13">
        <v>45221</v>
      </c>
      <c r="W21" s="8">
        <v>1200.2</v>
      </c>
      <c r="X21" s="8">
        <f t="shared" si="6"/>
        <v>32.450000000000045</v>
      </c>
      <c r="Y21" s="8">
        <f t="shared" si="7"/>
        <v>2.778848212374228</v>
      </c>
      <c r="AA21" s="13">
        <v>45221</v>
      </c>
      <c r="AB21" s="8">
        <v>5569.3</v>
      </c>
      <c r="AC21" s="8">
        <f t="shared" si="8"/>
        <v>109.10000000000036</v>
      </c>
      <c r="AD21" s="8">
        <f t="shared" si="9"/>
        <v>1.9980953078641874</v>
      </c>
      <c r="AF21" s="13">
        <v>45221</v>
      </c>
      <c r="AG21" s="8">
        <v>2511.6999999999998</v>
      </c>
      <c r="AH21" s="8">
        <f t="shared" si="10"/>
        <v>-35.700000000000273</v>
      </c>
      <c r="AI21" s="8">
        <f t="shared" si="11"/>
        <v>-1.4014289079061111</v>
      </c>
      <c r="AK21" s="13">
        <v>45221</v>
      </c>
      <c r="AL21" s="8">
        <v>230.95</v>
      </c>
      <c r="AM21" s="8">
        <f t="shared" si="12"/>
        <v>-23.600000000000023</v>
      </c>
      <c r="AN21" s="8">
        <f t="shared" si="13"/>
        <v>-9.2712630131604872</v>
      </c>
    </row>
    <row r="22" spans="2:40" x14ac:dyDescent="0.35">
      <c r="B22" s="13">
        <v>45214</v>
      </c>
      <c r="C22" s="8">
        <v>1145.3</v>
      </c>
      <c r="D22" s="8">
        <f t="shared" si="0"/>
        <v>18</v>
      </c>
      <c r="E22" s="8">
        <f t="shared" si="1"/>
        <v>1.5967355628492859</v>
      </c>
      <c r="G22" s="16">
        <v>45214</v>
      </c>
      <c r="H22" s="14">
        <v>3735.35</v>
      </c>
      <c r="I22" s="8">
        <v>13.55</v>
      </c>
      <c r="J22" s="8">
        <v>0.36407114839999999</v>
      </c>
      <c r="L22" s="13">
        <v>45214</v>
      </c>
      <c r="M22" s="8">
        <v>1527.75</v>
      </c>
      <c r="N22" s="8">
        <f t="shared" si="2"/>
        <v>-27.25</v>
      </c>
      <c r="O22" s="8">
        <f t="shared" si="3"/>
        <v>-1.752411575562701</v>
      </c>
      <c r="Q22" s="13">
        <v>45214</v>
      </c>
      <c r="R22" s="8">
        <v>22389.25</v>
      </c>
      <c r="S22" s="8">
        <f t="shared" si="4"/>
        <v>-647.15000000000146</v>
      </c>
      <c r="T22" s="8">
        <f t="shared" si="5"/>
        <v>-2.8092497091559507</v>
      </c>
      <c r="V22" s="13">
        <v>45214</v>
      </c>
      <c r="W22" s="8">
        <v>1167.75</v>
      </c>
      <c r="X22" s="8">
        <f t="shared" si="6"/>
        <v>4.75</v>
      </c>
      <c r="Y22" s="8">
        <f t="shared" si="7"/>
        <v>0.40842648323301806</v>
      </c>
      <c r="AA22" s="13">
        <v>45214</v>
      </c>
      <c r="AB22" s="8">
        <v>5460.2</v>
      </c>
      <c r="AC22" s="8">
        <f t="shared" si="8"/>
        <v>35.300000000000182</v>
      </c>
      <c r="AD22" s="8">
        <f t="shared" si="9"/>
        <v>0.65070323876938163</v>
      </c>
      <c r="AF22" s="13">
        <v>45214</v>
      </c>
      <c r="AG22" s="8">
        <v>2547.4</v>
      </c>
      <c r="AH22" s="8">
        <f t="shared" si="10"/>
        <v>67.75</v>
      </c>
      <c r="AI22" s="8">
        <f t="shared" si="11"/>
        <v>2.7322404371584699</v>
      </c>
      <c r="AK22" s="13">
        <v>45214</v>
      </c>
      <c r="AL22" s="8">
        <v>254.55</v>
      </c>
      <c r="AM22" s="8">
        <f t="shared" si="12"/>
        <v>-10</v>
      </c>
      <c r="AN22" s="8">
        <f t="shared" si="13"/>
        <v>-3.78000378000378</v>
      </c>
    </row>
    <row r="23" spans="2:40" x14ac:dyDescent="0.35">
      <c r="B23" s="13">
        <v>45207</v>
      </c>
      <c r="C23" s="8">
        <v>1127.3</v>
      </c>
      <c r="D23" s="8">
        <f t="shared" si="0"/>
        <v>-31.350000000000136</v>
      </c>
      <c r="E23" s="8">
        <f t="shared" si="1"/>
        <v>-2.7057351227722033</v>
      </c>
      <c r="G23" s="16">
        <v>45207</v>
      </c>
      <c r="H23" s="14">
        <v>3721.8</v>
      </c>
      <c r="I23" s="8">
        <v>-43.35</v>
      </c>
      <c r="J23" s="8">
        <v>-1.151348552</v>
      </c>
      <c r="L23" s="13">
        <v>45207</v>
      </c>
      <c r="M23" s="8">
        <v>1555</v>
      </c>
      <c r="N23" s="8">
        <f t="shared" si="2"/>
        <v>6.75</v>
      </c>
      <c r="O23" s="8">
        <f t="shared" si="3"/>
        <v>0.43597610205070242</v>
      </c>
      <c r="Q23" s="13">
        <v>45207</v>
      </c>
      <c r="R23" s="8">
        <v>23036.400000000001</v>
      </c>
      <c r="S23" s="8">
        <f t="shared" si="4"/>
        <v>-143.04999999999927</v>
      </c>
      <c r="T23" s="8">
        <f t="shared" si="5"/>
        <v>-0.61714147660966623</v>
      </c>
      <c r="V23" s="13">
        <v>45207</v>
      </c>
      <c r="W23" s="8">
        <v>1163</v>
      </c>
      <c r="X23" s="8">
        <f t="shared" si="6"/>
        <v>-23.150000000000091</v>
      </c>
      <c r="Y23" s="8">
        <f t="shared" si="7"/>
        <v>-1.9516924503646325</v>
      </c>
      <c r="AA23" s="13">
        <v>45207</v>
      </c>
      <c r="AB23" s="8">
        <v>5424.9</v>
      </c>
      <c r="AC23" s="8">
        <f t="shared" si="8"/>
        <v>-162.10000000000036</v>
      </c>
      <c r="AD23" s="8">
        <f t="shared" si="9"/>
        <v>-2.9013781993914511</v>
      </c>
      <c r="AF23" s="13">
        <v>45207</v>
      </c>
      <c r="AG23" s="8">
        <v>2479.65</v>
      </c>
      <c r="AH23" s="8">
        <f t="shared" si="10"/>
        <v>-44.699999999999818</v>
      </c>
      <c r="AI23" s="8">
        <f t="shared" si="11"/>
        <v>-1.7707528670746853</v>
      </c>
      <c r="AK23" s="13">
        <v>45207</v>
      </c>
      <c r="AL23" s="8">
        <v>264.55</v>
      </c>
      <c r="AM23" s="8">
        <f t="shared" si="12"/>
        <v>-7.6499999999999773</v>
      </c>
      <c r="AN23" s="8">
        <f t="shared" si="13"/>
        <v>-2.8104335047758919</v>
      </c>
    </row>
    <row r="24" spans="2:40" x14ac:dyDescent="0.35">
      <c r="B24" s="13">
        <v>45200</v>
      </c>
      <c r="C24" s="8">
        <v>1158.6500000000001</v>
      </c>
      <c r="D24" s="8">
        <f t="shared" si="0"/>
        <v>26.300000000000182</v>
      </c>
      <c r="E24" s="8">
        <f t="shared" si="1"/>
        <v>2.3226034353336145</v>
      </c>
      <c r="G24" s="16">
        <v>45200</v>
      </c>
      <c r="H24" s="14">
        <v>3765.15</v>
      </c>
      <c r="I24" s="8">
        <v>60.1</v>
      </c>
      <c r="J24" s="8">
        <v>1.622110363</v>
      </c>
      <c r="L24" s="13">
        <v>45200</v>
      </c>
      <c r="M24" s="8">
        <v>1548.25</v>
      </c>
      <c r="N24" s="8">
        <f t="shared" si="2"/>
        <v>-12.299999999999955</v>
      </c>
      <c r="O24" s="8">
        <f t="shared" si="3"/>
        <v>-0.7881836531991897</v>
      </c>
      <c r="Q24" s="13">
        <v>45200</v>
      </c>
      <c r="R24" s="8">
        <v>23179.45</v>
      </c>
      <c r="S24" s="8">
        <f t="shared" si="4"/>
        <v>636.20000000000073</v>
      </c>
      <c r="T24" s="8">
        <f t="shared" si="5"/>
        <v>2.8221307930311768</v>
      </c>
      <c r="V24" s="13">
        <v>45200</v>
      </c>
      <c r="W24" s="8">
        <v>1186.1500000000001</v>
      </c>
      <c r="X24" s="8">
        <f t="shared" si="6"/>
        <v>0.25</v>
      </c>
      <c r="Y24" s="8">
        <f t="shared" si="7"/>
        <v>2.1081035500463779E-2</v>
      </c>
      <c r="AA24" s="13">
        <v>45200</v>
      </c>
      <c r="AB24" s="8">
        <v>5587</v>
      </c>
      <c r="AC24" s="8">
        <f t="shared" si="8"/>
        <v>69.949999999999818</v>
      </c>
      <c r="AD24" s="8">
        <f t="shared" si="9"/>
        <v>1.2678877298556259</v>
      </c>
      <c r="AF24" s="13">
        <v>45200</v>
      </c>
      <c r="AG24" s="8">
        <v>2524.35</v>
      </c>
      <c r="AH24" s="8">
        <f t="shared" si="10"/>
        <v>184.75</v>
      </c>
      <c r="AI24" s="8">
        <f t="shared" si="11"/>
        <v>7.896648999829031</v>
      </c>
      <c r="AK24" s="13">
        <v>45200</v>
      </c>
      <c r="AL24" s="8">
        <v>272.2</v>
      </c>
      <c r="AM24" s="8">
        <f t="shared" si="12"/>
        <v>7.8499999999999659</v>
      </c>
      <c r="AN24" s="8">
        <f t="shared" si="13"/>
        <v>2.9695479477964688</v>
      </c>
    </row>
    <row r="25" spans="2:40" x14ac:dyDescent="0.35">
      <c r="B25" s="13">
        <v>45193</v>
      </c>
      <c r="C25" s="8">
        <v>1132.3499999999999</v>
      </c>
      <c r="D25" s="8">
        <f t="shared" si="0"/>
        <v>-17.450000000000045</v>
      </c>
      <c r="E25" s="8">
        <f t="shared" si="1"/>
        <v>-1.5176552443903328</v>
      </c>
      <c r="G25" s="16">
        <v>45193</v>
      </c>
      <c r="H25" s="14">
        <v>3705.05</v>
      </c>
      <c r="I25" s="8">
        <v>-110.45</v>
      </c>
      <c r="J25" s="8">
        <v>-2.8947713269999999</v>
      </c>
      <c r="L25" s="13">
        <v>45193</v>
      </c>
      <c r="M25" s="8">
        <v>1560.55</v>
      </c>
      <c r="N25" s="8">
        <f t="shared" si="2"/>
        <v>-39.700000000000045</v>
      </c>
      <c r="O25" s="8">
        <f t="shared" si="3"/>
        <v>-2.4808623652554318</v>
      </c>
      <c r="Q25" s="13">
        <v>45193</v>
      </c>
      <c r="R25" s="8">
        <v>22543.25</v>
      </c>
      <c r="S25" s="8">
        <f t="shared" si="4"/>
        <v>-807.90000000000146</v>
      </c>
      <c r="T25" s="8">
        <f t="shared" si="5"/>
        <v>-3.4597867770966371</v>
      </c>
      <c r="V25" s="13">
        <v>45193</v>
      </c>
      <c r="W25" s="8">
        <v>1185.9000000000001</v>
      </c>
      <c r="X25" s="8">
        <f t="shared" si="6"/>
        <v>-49.599999999999909</v>
      </c>
      <c r="Y25" s="8">
        <f t="shared" si="7"/>
        <v>-4.0145690004046868</v>
      </c>
      <c r="AA25" s="13">
        <v>45193</v>
      </c>
      <c r="AB25" s="8">
        <v>5517.05</v>
      </c>
      <c r="AC25" s="8">
        <f t="shared" si="8"/>
        <v>-302.44999999999982</v>
      </c>
      <c r="AD25" s="8">
        <f t="shared" si="9"/>
        <v>-5.1971818884783882</v>
      </c>
      <c r="AF25" s="13">
        <v>45193</v>
      </c>
      <c r="AG25" s="8">
        <v>2339.6</v>
      </c>
      <c r="AH25" s="8">
        <f t="shared" si="10"/>
        <v>3.7999999999997272</v>
      </c>
      <c r="AI25" s="8">
        <f t="shared" si="11"/>
        <v>0.16268516140079317</v>
      </c>
      <c r="AK25" s="13">
        <v>45193</v>
      </c>
      <c r="AL25" s="8">
        <v>264.35000000000002</v>
      </c>
      <c r="AM25" s="8">
        <f t="shared" si="12"/>
        <v>-12.399999999999977</v>
      </c>
      <c r="AN25" s="8">
        <f t="shared" si="13"/>
        <v>-4.4805781391147166</v>
      </c>
    </row>
    <row r="26" spans="2:40" x14ac:dyDescent="0.35">
      <c r="B26" s="13">
        <v>45186</v>
      </c>
      <c r="C26" s="8">
        <v>1149.8</v>
      </c>
      <c r="D26" s="8">
        <f t="shared" si="0"/>
        <v>19.349999999999909</v>
      </c>
      <c r="E26" s="8">
        <f t="shared" si="1"/>
        <v>1.711707727011359</v>
      </c>
      <c r="G26" s="16">
        <v>45186</v>
      </c>
      <c r="H26" s="14">
        <v>3815.5</v>
      </c>
      <c r="I26" s="8">
        <v>116.7</v>
      </c>
      <c r="J26" s="8">
        <v>3.1550773219999999</v>
      </c>
      <c r="L26" s="13">
        <v>45186</v>
      </c>
      <c r="M26" s="8">
        <v>1600.25</v>
      </c>
      <c r="N26" s="8">
        <f t="shared" si="2"/>
        <v>138.75</v>
      </c>
      <c r="O26" s="8">
        <f t="shared" si="3"/>
        <v>9.4936708860759502</v>
      </c>
      <c r="Q26" s="13">
        <v>45186</v>
      </c>
      <c r="R26" s="8">
        <v>23351.15</v>
      </c>
      <c r="S26" s="8">
        <f t="shared" si="4"/>
        <v>348.85000000000218</v>
      </c>
      <c r="T26" s="8">
        <f t="shared" si="5"/>
        <v>1.5165874716876233</v>
      </c>
      <c r="V26" s="13">
        <v>45186</v>
      </c>
      <c r="W26" s="8">
        <v>1235.5</v>
      </c>
      <c r="X26" s="8">
        <f t="shared" si="6"/>
        <v>-9.0999999999999091</v>
      </c>
      <c r="Y26" s="8">
        <f t="shared" si="7"/>
        <v>-0.73115860517434594</v>
      </c>
      <c r="AA26" s="13">
        <v>45186</v>
      </c>
      <c r="AB26" s="8">
        <v>5819.5</v>
      </c>
      <c r="AC26" s="8">
        <f t="shared" si="8"/>
        <v>235.69999999999982</v>
      </c>
      <c r="AD26" s="8">
        <f t="shared" si="9"/>
        <v>4.2211397256348686</v>
      </c>
      <c r="AF26" s="13">
        <v>45186</v>
      </c>
      <c r="AG26" s="8">
        <v>2335.8000000000002</v>
      </c>
      <c r="AH26" s="8">
        <f t="shared" si="10"/>
        <v>118.40000000000009</v>
      </c>
      <c r="AI26" s="8">
        <f t="shared" si="11"/>
        <v>5.3395869035807744</v>
      </c>
      <c r="AK26" s="13">
        <v>45186</v>
      </c>
      <c r="AL26" s="8">
        <v>276.75</v>
      </c>
      <c r="AM26" s="8">
        <f t="shared" si="12"/>
        <v>10.350000000000023</v>
      </c>
      <c r="AN26" s="8">
        <f t="shared" si="13"/>
        <v>3.885135135135144</v>
      </c>
    </row>
    <row r="27" spans="2:40" x14ac:dyDescent="0.35">
      <c r="B27" s="13">
        <v>45179</v>
      </c>
      <c r="C27" s="8">
        <v>1130.45</v>
      </c>
      <c r="D27" s="8">
        <f t="shared" si="0"/>
        <v>21.450000000000045</v>
      </c>
      <c r="E27" s="8">
        <f t="shared" si="1"/>
        <v>1.9341749323715101</v>
      </c>
      <c r="G27" s="16">
        <v>45179</v>
      </c>
      <c r="H27" s="14">
        <v>3698.8</v>
      </c>
      <c r="I27" s="8">
        <v>109.5</v>
      </c>
      <c r="J27" s="8">
        <v>3.050734126</v>
      </c>
      <c r="L27" s="13">
        <v>45179</v>
      </c>
      <c r="M27" s="8">
        <v>1461.5</v>
      </c>
      <c r="N27" s="8">
        <f t="shared" si="2"/>
        <v>23.200000000000045</v>
      </c>
      <c r="O27" s="8">
        <f t="shared" si="3"/>
        <v>1.6130153653618888</v>
      </c>
      <c r="Q27" s="13">
        <v>45179</v>
      </c>
      <c r="R27" s="8">
        <v>23002.3</v>
      </c>
      <c r="S27" s="8">
        <f t="shared" si="4"/>
        <v>297.64999999999782</v>
      </c>
      <c r="T27" s="8">
        <f t="shared" si="5"/>
        <v>1.3109649344957874</v>
      </c>
      <c r="V27" s="13">
        <v>45179</v>
      </c>
      <c r="W27" s="8">
        <v>1244.5999999999999</v>
      </c>
      <c r="X27" s="8">
        <f t="shared" si="6"/>
        <v>-0.8000000000001819</v>
      </c>
      <c r="Y27" s="8">
        <f t="shared" si="7"/>
        <v>-6.4236389914901382E-2</v>
      </c>
      <c r="AA27" s="13">
        <v>45179</v>
      </c>
      <c r="AB27" s="8">
        <v>5583.8</v>
      </c>
      <c r="AC27" s="8">
        <f t="shared" si="8"/>
        <v>5.25</v>
      </c>
      <c r="AD27" s="8">
        <f t="shared" si="9"/>
        <v>9.4110476736786436E-2</v>
      </c>
      <c r="AF27" s="13">
        <v>45179</v>
      </c>
      <c r="AG27" s="8">
        <v>2217.4</v>
      </c>
      <c r="AH27" s="8">
        <f t="shared" si="10"/>
        <v>16.150000000000091</v>
      </c>
      <c r="AI27" s="8">
        <f t="shared" si="11"/>
        <v>0.73367404883589282</v>
      </c>
      <c r="AK27" s="13">
        <v>45179</v>
      </c>
      <c r="AL27" s="8">
        <v>266.39999999999998</v>
      </c>
      <c r="AM27" s="8">
        <f t="shared" si="12"/>
        <v>5.5999999999999659</v>
      </c>
      <c r="AN27" s="8">
        <f t="shared" si="13"/>
        <v>2.1472392638036677</v>
      </c>
    </row>
    <row r="28" spans="2:40" x14ac:dyDescent="0.35">
      <c r="B28" s="13">
        <v>45172</v>
      </c>
      <c r="C28" s="8">
        <v>1109</v>
      </c>
      <c r="D28" s="8">
        <f t="shared" si="0"/>
        <v>2.7000000000000455</v>
      </c>
      <c r="E28" s="8">
        <f t="shared" si="1"/>
        <v>0.24405676579590035</v>
      </c>
      <c r="G28" s="16">
        <v>45172</v>
      </c>
      <c r="H28" s="14">
        <v>3589.3</v>
      </c>
      <c r="I28" s="8">
        <v>-47.2</v>
      </c>
      <c r="J28" s="8">
        <v>-1.297951327</v>
      </c>
      <c r="L28" s="13">
        <v>45172</v>
      </c>
      <c r="M28" s="8">
        <v>1438.3</v>
      </c>
      <c r="N28" s="8">
        <f t="shared" si="2"/>
        <v>17.899999999999864</v>
      </c>
      <c r="O28" s="8">
        <f t="shared" si="3"/>
        <v>1.2602083920022431</v>
      </c>
      <c r="Q28" s="13">
        <v>45172</v>
      </c>
      <c r="R28" s="8">
        <v>22704.65</v>
      </c>
      <c r="S28" s="8">
        <f t="shared" si="4"/>
        <v>-516.34999999999854</v>
      </c>
      <c r="T28" s="8">
        <f t="shared" si="5"/>
        <v>-2.2236337797683068</v>
      </c>
      <c r="V28" s="13">
        <v>45172</v>
      </c>
      <c r="W28" s="8">
        <v>1245.4000000000001</v>
      </c>
      <c r="X28" s="8">
        <f t="shared" si="6"/>
        <v>36</v>
      </c>
      <c r="Y28" s="8">
        <f t="shared" si="7"/>
        <v>2.9766826525549859</v>
      </c>
      <c r="AA28" s="13">
        <v>45172</v>
      </c>
      <c r="AB28" s="8">
        <v>5578.55</v>
      </c>
      <c r="AC28" s="8">
        <f t="shared" si="8"/>
        <v>-200.69999999999982</v>
      </c>
      <c r="AD28" s="8">
        <f t="shared" si="9"/>
        <v>-3.4727689579097603</v>
      </c>
      <c r="AF28" s="13">
        <v>45172</v>
      </c>
      <c r="AG28" s="8">
        <v>2201.25</v>
      </c>
      <c r="AH28" s="8">
        <f t="shared" si="10"/>
        <v>-3.3000000000001819</v>
      </c>
      <c r="AI28" s="8">
        <f t="shared" si="11"/>
        <v>-0.14969041300946595</v>
      </c>
      <c r="AK28" s="13">
        <v>45172</v>
      </c>
      <c r="AL28" s="8">
        <v>260.8</v>
      </c>
      <c r="AM28" s="8">
        <f t="shared" si="12"/>
        <v>5.4000000000000057</v>
      </c>
      <c r="AN28" s="8">
        <f t="shared" si="13"/>
        <v>2.1143304620203622</v>
      </c>
    </row>
    <row r="29" spans="2:40" x14ac:dyDescent="0.35">
      <c r="B29" s="13">
        <v>45165</v>
      </c>
      <c r="C29" s="8">
        <v>1106.3</v>
      </c>
      <c r="D29" s="8">
        <f t="shared" si="0"/>
        <v>-28.600000000000136</v>
      </c>
      <c r="E29" s="8">
        <f t="shared" si="1"/>
        <v>-2.5200458190149031</v>
      </c>
      <c r="G29" s="16">
        <v>45165</v>
      </c>
      <c r="H29" s="14">
        <v>3636.5</v>
      </c>
      <c r="I29" s="8">
        <v>-18.399999999999999</v>
      </c>
      <c r="J29" s="8">
        <v>-0.50343374649999995</v>
      </c>
      <c r="L29" s="13">
        <v>45165</v>
      </c>
      <c r="M29" s="8">
        <v>1420.4</v>
      </c>
      <c r="N29" s="8">
        <f t="shared" si="2"/>
        <v>10.200000000000045</v>
      </c>
      <c r="O29" s="8">
        <f t="shared" si="3"/>
        <v>0.72330165933910406</v>
      </c>
      <c r="Q29" s="13">
        <v>45165</v>
      </c>
      <c r="R29" s="8">
        <v>23221</v>
      </c>
      <c r="S29" s="8">
        <f t="shared" si="4"/>
        <v>-178.59999999999854</v>
      </c>
      <c r="T29" s="8">
        <f t="shared" si="5"/>
        <v>-0.76326091044290734</v>
      </c>
      <c r="V29" s="13">
        <v>45165</v>
      </c>
      <c r="W29" s="8">
        <v>1209.4000000000001</v>
      </c>
      <c r="X29" s="8">
        <f t="shared" si="6"/>
        <v>-27</v>
      </c>
      <c r="Y29" s="8">
        <f t="shared" si="7"/>
        <v>-2.1837593011970236</v>
      </c>
      <c r="AA29" s="13">
        <v>45165</v>
      </c>
      <c r="AB29" s="8">
        <v>5779.25</v>
      </c>
      <c r="AC29" s="8">
        <f t="shared" si="8"/>
        <v>-95.199999999999818</v>
      </c>
      <c r="AD29" s="8">
        <f t="shared" si="9"/>
        <v>-1.6205772455293657</v>
      </c>
      <c r="AF29" s="13">
        <v>45165</v>
      </c>
      <c r="AG29" s="8">
        <v>2204.5500000000002</v>
      </c>
      <c r="AH29" s="8">
        <f t="shared" si="10"/>
        <v>-37.399999999999636</v>
      </c>
      <c r="AI29" s="8">
        <f t="shared" si="11"/>
        <v>-1.6681906376145605</v>
      </c>
      <c r="AK29" s="13">
        <v>45165</v>
      </c>
      <c r="AL29" s="8">
        <v>255.4</v>
      </c>
      <c r="AM29" s="8">
        <f t="shared" si="12"/>
        <v>-2.7999999999999829</v>
      </c>
      <c r="AN29" s="8">
        <f t="shared" si="13"/>
        <v>-1.084430673896198</v>
      </c>
    </row>
    <row r="30" spans="2:40" x14ac:dyDescent="0.35">
      <c r="B30" s="13">
        <v>45158</v>
      </c>
      <c r="C30" s="8">
        <v>1134.9000000000001</v>
      </c>
      <c r="D30" s="8">
        <f t="shared" si="0"/>
        <v>2.5500000000001819</v>
      </c>
      <c r="E30" s="8">
        <f t="shared" si="1"/>
        <v>0.22519539011791248</v>
      </c>
      <c r="G30" s="16">
        <v>45158</v>
      </c>
      <c r="H30" s="14">
        <v>3654.9</v>
      </c>
      <c r="I30" s="8">
        <v>-24.25</v>
      </c>
      <c r="J30" s="8">
        <v>-0.65911963360000003</v>
      </c>
      <c r="L30" s="13">
        <v>45158</v>
      </c>
      <c r="M30" s="8">
        <v>1410.2</v>
      </c>
      <c r="N30" s="8">
        <f t="shared" si="2"/>
        <v>-31.399999999999864</v>
      </c>
      <c r="O30" s="8">
        <f t="shared" si="3"/>
        <v>-2.1781354051054289</v>
      </c>
      <c r="Q30" s="13">
        <v>45158</v>
      </c>
      <c r="R30" s="8">
        <v>23399.599999999999</v>
      </c>
      <c r="S30" s="8">
        <f t="shared" si="4"/>
        <v>-333.20000000000073</v>
      </c>
      <c r="T30" s="8">
        <f t="shared" si="5"/>
        <v>-1.4039641340254869</v>
      </c>
      <c r="V30" s="13">
        <v>45158</v>
      </c>
      <c r="W30" s="8">
        <v>1236.4000000000001</v>
      </c>
      <c r="X30" s="8">
        <f t="shared" si="6"/>
        <v>-13.799999999999955</v>
      </c>
      <c r="Y30" s="8">
        <f t="shared" si="7"/>
        <v>-1.103823388257875</v>
      </c>
      <c r="AA30" s="13">
        <v>45158</v>
      </c>
      <c r="AB30" s="8">
        <v>5874.45</v>
      </c>
      <c r="AC30" s="8">
        <f t="shared" si="8"/>
        <v>51.449999999999818</v>
      </c>
      <c r="AD30" s="8">
        <f t="shared" si="9"/>
        <v>0.88356517259144463</v>
      </c>
      <c r="AF30" s="13">
        <v>45158</v>
      </c>
      <c r="AG30" s="8">
        <v>2241.9499999999998</v>
      </c>
      <c r="AH30" s="8">
        <f t="shared" si="10"/>
        <v>-56.050000000000182</v>
      </c>
      <c r="AI30" s="8">
        <f t="shared" si="11"/>
        <v>-2.4390774586597121</v>
      </c>
      <c r="AK30" s="13">
        <v>45158</v>
      </c>
      <c r="AL30" s="8">
        <v>258.2</v>
      </c>
      <c r="AM30" s="8">
        <f t="shared" si="12"/>
        <v>2</v>
      </c>
      <c r="AN30" s="8">
        <f t="shared" si="13"/>
        <v>0.78064012490242007</v>
      </c>
    </row>
    <row r="31" spans="2:40" x14ac:dyDescent="0.35">
      <c r="B31" s="13">
        <v>45151</v>
      </c>
      <c r="C31" s="8">
        <v>1132.3499999999999</v>
      </c>
      <c r="D31" s="8">
        <f t="shared" si="0"/>
        <v>-6.6000000000001364</v>
      </c>
      <c r="E31" s="8">
        <f t="shared" si="1"/>
        <v>-0.57948110101410388</v>
      </c>
      <c r="G31" s="16">
        <v>45151</v>
      </c>
      <c r="H31" s="14">
        <v>3679.15</v>
      </c>
      <c r="I31" s="8">
        <v>-66.25</v>
      </c>
      <c r="J31" s="8">
        <v>-1.768836439</v>
      </c>
      <c r="L31" s="13">
        <v>45151</v>
      </c>
      <c r="M31" s="8">
        <v>1441.6</v>
      </c>
      <c r="N31" s="8">
        <f t="shared" si="2"/>
        <v>40</v>
      </c>
      <c r="O31" s="8">
        <f t="shared" si="3"/>
        <v>2.8538812785388128</v>
      </c>
      <c r="Q31" s="13">
        <v>45151</v>
      </c>
      <c r="R31" s="8">
        <v>23732.799999999999</v>
      </c>
      <c r="S31" s="8">
        <f t="shared" si="4"/>
        <v>-131.20000000000073</v>
      </c>
      <c r="T31" s="8">
        <f t="shared" si="5"/>
        <v>-0.54978209855850124</v>
      </c>
      <c r="V31" s="13">
        <v>45151</v>
      </c>
      <c r="W31" s="8">
        <v>1250.2</v>
      </c>
      <c r="X31" s="8">
        <f t="shared" si="6"/>
        <v>40.450000000000045</v>
      </c>
      <c r="Y31" s="8">
        <f t="shared" si="7"/>
        <v>3.3436660467038681</v>
      </c>
      <c r="AA31" s="13">
        <v>45151</v>
      </c>
      <c r="AB31" s="8">
        <v>5823</v>
      </c>
      <c r="AC31" s="8">
        <f t="shared" si="8"/>
        <v>173.44999999999982</v>
      </c>
      <c r="AD31" s="8">
        <f t="shared" si="9"/>
        <v>3.0701560301262898</v>
      </c>
      <c r="AF31" s="13">
        <v>45151</v>
      </c>
      <c r="AG31" s="8">
        <v>2298</v>
      </c>
      <c r="AH31" s="8">
        <f t="shared" si="10"/>
        <v>-51.949999999999818</v>
      </c>
      <c r="AI31" s="8">
        <f t="shared" si="11"/>
        <v>-2.2106853337304972</v>
      </c>
      <c r="AK31" s="13">
        <v>45151</v>
      </c>
      <c r="AL31" s="8">
        <v>256.2</v>
      </c>
      <c r="AM31" s="8">
        <f t="shared" si="12"/>
        <v>2.6499999999999773</v>
      </c>
      <c r="AN31" s="8">
        <f t="shared" si="13"/>
        <v>1.045158745809496</v>
      </c>
    </row>
    <row r="32" spans="2:40" x14ac:dyDescent="0.35">
      <c r="B32" s="13">
        <v>45144</v>
      </c>
      <c r="C32" s="8">
        <v>1138.95</v>
      </c>
      <c r="D32" s="8">
        <f t="shared" si="0"/>
        <v>0.40000000000009095</v>
      </c>
      <c r="E32" s="8">
        <f t="shared" si="1"/>
        <v>3.5132405252302573E-2</v>
      </c>
      <c r="G32" s="16">
        <v>45144</v>
      </c>
      <c r="H32" s="14">
        <v>3745.4</v>
      </c>
      <c r="I32" s="8">
        <v>6.35</v>
      </c>
      <c r="J32" s="8">
        <v>0.1698292347</v>
      </c>
      <c r="L32" s="13">
        <v>45144</v>
      </c>
      <c r="M32" s="8">
        <v>1401.6</v>
      </c>
      <c r="N32" s="8">
        <f t="shared" si="2"/>
        <v>6.3999999999998636</v>
      </c>
      <c r="O32" s="8">
        <f t="shared" si="3"/>
        <v>0.45871559633026543</v>
      </c>
      <c r="Q32" s="13">
        <v>45144</v>
      </c>
      <c r="R32" s="8">
        <v>23864</v>
      </c>
      <c r="S32" s="8">
        <f t="shared" si="4"/>
        <v>-195.95000000000073</v>
      </c>
      <c r="T32" s="8">
        <f t="shared" si="5"/>
        <v>-0.81442397012462919</v>
      </c>
      <c r="V32" s="13">
        <v>45144</v>
      </c>
      <c r="W32" s="8">
        <v>1209.75</v>
      </c>
      <c r="X32" s="8">
        <f t="shared" si="6"/>
        <v>31.950000000000045</v>
      </c>
      <c r="Y32" s="8">
        <f t="shared" si="7"/>
        <v>2.7126846663270543</v>
      </c>
      <c r="AA32" s="13">
        <v>45144</v>
      </c>
      <c r="AB32" s="8">
        <v>5649.55</v>
      </c>
      <c r="AC32" s="8">
        <f t="shared" si="8"/>
        <v>66.550000000000182</v>
      </c>
      <c r="AD32" s="8">
        <f t="shared" si="9"/>
        <v>1.1920114633709509</v>
      </c>
      <c r="AF32" s="13">
        <v>45144</v>
      </c>
      <c r="AG32" s="8">
        <v>2349.9499999999998</v>
      </c>
      <c r="AH32" s="8">
        <f t="shared" si="10"/>
        <v>-4.7000000000002728</v>
      </c>
      <c r="AI32" s="8">
        <f t="shared" si="11"/>
        <v>-0.19960503684200509</v>
      </c>
      <c r="AK32" s="13">
        <v>45144</v>
      </c>
      <c r="AL32" s="8">
        <v>253.55</v>
      </c>
      <c r="AM32" s="8">
        <f t="shared" si="12"/>
        <v>-3.1999999999999886</v>
      </c>
      <c r="AN32" s="8">
        <f t="shared" si="13"/>
        <v>-1.2463485881207357</v>
      </c>
    </row>
    <row r="33" spans="2:40" x14ac:dyDescent="0.35">
      <c r="B33" s="13">
        <v>45137</v>
      </c>
      <c r="C33" s="8">
        <v>1138.55</v>
      </c>
      <c r="D33" s="8">
        <f t="shared" si="0"/>
        <v>41.399999999999864</v>
      </c>
      <c r="E33" s="8">
        <f t="shared" si="1"/>
        <v>3.7734129335095346</v>
      </c>
      <c r="G33" s="16">
        <v>45137</v>
      </c>
      <c r="H33" s="14">
        <v>3739.05</v>
      </c>
      <c r="I33" s="8">
        <v>50.75</v>
      </c>
      <c r="J33" s="8">
        <v>1.3759726699999999</v>
      </c>
      <c r="L33" s="13">
        <v>45137</v>
      </c>
      <c r="M33" s="8">
        <v>1395.2</v>
      </c>
      <c r="N33" s="8">
        <f t="shared" si="2"/>
        <v>-3.1499999999998636</v>
      </c>
      <c r="O33" s="8">
        <f t="shared" si="3"/>
        <v>-0.22526549147208236</v>
      </c>
      <c r="Q33" s="13">
        <v>45137</v>
      </c>
      <c r="R33" s="8">
        <v>24059.95</v>
      </c>
      <c r="S33" s="8">
        <f t="shared" si="4"/>
        <v>876.10000000000218</v>
      </c>
      <c r="T33" s="8">
        <f t="shared" si="5"/>
        <v>3.7789236904138108</v>
      </c>
      <c r="V33" s="13">
        <v>45137</v>
      </c>
      <c r="W33" s="8">
        <v>1177.8</v>
      </c>
      <c r="X33" s="8">
        <f t="shared" si="6"/>
        <v>128.84999999999991</v>
      </c>
      <c r="Y33" s="8">
        <f t="shared" si="7"/>
        <v>12.283712283712275</v>
      </c>
      <c r="AA33" s="13">
        <v>45137</v>
      </c>
      <c r="AB33" s="8">
        <v>5583</v>
      </c>
      <c r="AC33" s="8">
        <f t="shared" si="8"/>
        <v>294.80000000000018</v>
      </c>
      <c r="AD33" s="8">
        <f t="shared" si="9"/>
        <v>5.5746756930524599</v>
      </c>
      <c r="AF33" s="13">
        <v>45137</v>
      </c>
      <c r="AG33" s="8">
        <v>2354.65</v>
      </c>
      <c r="AH33" s="8">
        <f t="shared" si="10"/>
        <v>67.75</v>
      </c>
      <c r="AI33" s="8">
        <f t="shared" si="11"/>
        <v>2.9625256897984169</v>
      </c>
      <c r="AK33" s="13">
        <v>45137</v>
      </c>
      <c r="AL33" s="8">
        <v>256.75</v>
      </c>
      <c r="AM33" s="8">
        <f t="shared" si="12"/>
        <v>-7.1999999999999886</v>
      </c>
      <c r="AN33" s="8">
        <f t="shared" si="13"/>
        <v>-2.7277893540443223</v>
      </c>
    </row>
    <row r="34" spans="2:40" x14ac:dyDescent="0.35">
      <c r="B34" s="13">
        <v>45130</v>
      </c>
      <c r="C34" s="8">
        <v>1097.1500000000001</v>
      </c>
      <c r="D34" s="8">
        <f t="shared" si="0"/>
        <v>24.200000000000045</v>
      </c>
      <c r="E34" s="8">
        <f t="shared" si="1"/>
        <v>2.2554639079174281</v>
      </c>
      <c r="G34" s="16">
        <v>45130</v>
      </c>
      <c r="H34" s="14">
        <v>3688.3</v>
      </c>
      <c r="I34" s="8">
        <v>11.1</v>
      </c>
      <c r="J34" s="8">
        <v>0.30186011099999999</v>
      </c>
      <c r="L34" s="13">
        <v>45130</v>
      </c>
      <c r="M34" s="8">
        <v>1398.35</v>
      </c>
      <c r="N34" s="8">
        <f t="shared" si="2"/>
        <v>10.949999999999818</v>
      </c>
      <c r="O34" s="8">
        <f t="shared" si="3"/>
        <v>0.78924607178894457</v>
      </c>
      <c r="Q34" s="13">
        <v>45130</v>
      </c>
      <c r="R34" s="8">
        <v>23183.85</v>
      </c>
      <c r="S34" s="8">
        <f t="shared" si="4"/>
        <v>-110.05000000000291</v>
      </c>
      <c r="T34" s="8">
        <f t="shared" si="5"/>
        <v>-0.47244128291098914</v>
      </c>
      <c r="V34" s="13">
        <v>45130</v>
      </c>
      <c r="W34" s="8">
        <v>1048.95</v>
      </c>
      <c r="X34" s="8">
        <f t="shared" si="6"/>
        <v>18.049999999999955</v>
      </c>
      <c r="Y34" s="8">
        <f t="shared" si="7"/>
        <v>1.7508972742263995</v>
      </c>
      <c r="AA34" s="13">
        <v>45130</v>
      </c>
      <c r="AB34" s="8">
        <v>5288.2</v>
      </c>
      <c r="AC34" s="8">
        <f t="shared" si="8"/>
        <v>196.14999999999964</v>
      </c>
      <c r="AD34" s="8">
        <f t="shared" si="9"/>
        <v>3.8520831492228007</v>
      </c>
      <c r="AF34" s="13">
        <v>45130</v>
      </c>
      <c r="AG34" s="8">
        <v>2286.9</v>
      </c>
      <c r="AH34" s="8">
        <f t="shared" si="10"/>
        <v>-69.650000000000091</v>
      </c>
      <c r="AI34" s="8">
        <f t="shared" si="11"/>
        <v>-2.9555918609832208</v>
      </c>
      <c r="AK34" s="13">
        <v>45130</v>
      </c>
      <c r="AL34" s="8">
        <v>263.95</v>
      </c>
      <c r="AM34" s="8">
        <f t="shared" si="12"/>
        <v>1.75</v>
      </c>
      <c r="AN34" s="8">
        <f t="shared" si="13"/>
        <v>0.66742944317315034</v>
      </c>
    </row>
    <row r="35" spans="2:40" x14ac:dyDescent="0.35">
      <c r="B35" s="13">
        <v>45123</v>
      </c>
      <c r="C35" s="8">
        <v>1072.95</v>
      </c>
      <c r="D35" s="8">
        <f t="shared" si="0"/>
        <v>37.25</v>
      </c>
      <c r="E35" s="8">
        <f t="shared" si="1"/>
        <v>3.5966013324321713</v>
      </c>
      <c r="G35" s="16">
        <v>45123</v>
      </c>
      <c r="H35" s="14">
        <v>3677.2</v>
      </c>
      <c r="I35" s="8">
        <v>8.5500000000000007</v>
      </c>
      <c r="J35" s="8">
        <v>0.23305575619999999</v>
      </c>
      <c r="L35" s="13">
        <v>45123</v>
      </c>
      <c r="M35" s="8">
        <v>1387.4</v>
      </c>
      <c r="N35" s="8">
        <f t="shared" si="2"/>
        <v>-13.049999999999955</v>
      </c>
      <c r="O35" s="8">
        <f t="shared" si="3"/>
        <v>-0.93184333607054548</v>
      </c>
      <c r="Q35" s="13">
        <v>45123</v>
      </c>
      <c r="R35" s="8">
        <v>23293.9</v>
      </c>
      <c r="S35" s="8">
        <f t="shared" si="4"/>
        <v>-205.5</v>
      </c>
      <c r="T35" s="8">
        <f t="shared" si="5"/>
        <v>-0.87449041252117066</v>
      </c>
      <c r="V35" s="13">
        <v>45123</v>
      </c>
      <c r="W35" s="8">
        <v>1030.9000000000001</v>
      </c>
      <c r="X35" s="8">
        <f t="shared" si="6"/>
        <v>10.250000000000114</v>
      </c>
      <c r="Y35" s="8">
        <f t="shared" si="7"/>
        <v>1.0042619899084029</v>
      </c>
      <c r="AA35" s="13">
        <v>45123</v>
      </c>
      <c r="AB35" s="8">
        <v>5092.05</v>
      </c>
      <c r="AC35" s="8">
        <f t="shared" si="8"/>
        <v>-90.449999999999818</v>
      </c>
      <c r="AD35" s="8">
        <f t="shared" si="9"/>
        <v>-1.7452966714905898</v>
      </c>
      <c r="AF35" s="13">
        <v>45123</v>
      </c>
      <c r="AG35" s="8">
        <v>2356.5500000000002</v>
      </c>
      <c r="AH35" s="8">
        <f t="shared" si="10"/>
        <v>-3.0499999999997272</v>
      </c>
      <c r="AI35" s="8">
        <f t="shared" si="11"/>
        <v>-0.12925919647396708</v>
      </c>
      <c r="AK35" s="13">
        <v>45123</v>
      </c>
      <c r="AL35" s="8">
        <v>262.2</v>
      </c>
      <c r="AM35" s="8">
        <f t="shared" si="12"/>
        <v>8.25</v>
      </c>
      <c r="AN35" s="8">
        <f t="shared" si="13"/>
        <v>3.2486709982279978</v>
      </c>
    </row>
    <row r="36" spans="2:40" x14ac:dyDescent="0.35">
      <c r="B36" s="13">
        <v>45116</v>
      </c>
      <c r="C36" s="8">
        <v>1035.7</v>
      </c>
      <c r="D36" s="8">
        <f t="shared" si="0"/>
        <v>-15.899999999999864</v>
      </c>
      <c r="E36" s="8">
        <f t="shared" si="1"/>
        <v>-1.5119817421072523</v>
      </c>
      <c r="G36" s="16">
        <v>45116</v>
      </c>
      <c r="H36" s="14">
        <v>3668.65</v>
      </c>
      <c r="I36" s="8">
        <v>85.05</v>
      </c>
      <c r="J36" s="8">
        <v>2.3733117539999999</v>
      </c>
      <c r="L36" s="13">
        <v>45116</v>
      </c>
      <c r="M36" s="8">
        <v>1400.45</v>
      </c>
      <c r="N36" s="8">
        <f t="shared" si="2"/>
        <v>-24.649999999999864</v>
      </c>
      <c r="O36" s="8">
        <f t="shared" si="3"/>
        <v>-1.7297031787242907</v>
      </c>
      <c r="Q36" s="13">
        <v>45116</v>
      </c>
      <c r="R36" s="8">
        <v>23499.4</v>
      </c>
      <c r="S36" s="8">
        <f t="shared" si="4"/>
        <v>80.25</v>
      </c>
      <c r="T36" s="8">
        <f t="shared" si="5"/>
        <v>0.34266828642371733</v>
      </c>
      <c r="V36" s="13">
        <v>45116</v>
      </c>
      <c r="W36" s="8">
        <v>1020.65</v>
      </c>
      <c r="X36" s="8">
        <f t="shared" si="6"/>
        <v>5.6999999999999318</v>
      </c>
      <c r="Y36" s="8">
        <f t="shared" si="7"/>
        <v>0.56160401990245146</v>
      </c>
      <c r="AA36" s="13">
        <v>45116</v>
      </c>
      <c r="AB36" s="8">
        <v>5182.5</v>
      </c>
      <c r="AC36" s="8">
        <f t="shared" si="8"/>
        <v>22.899999999999636</v>
      </c>
      <c r="AD36" s="8">
        <f t="shared" si="9"/>
        <v>0.44383285526009059</v>
      </c>
      <c r="AF36" s="13">
        <v>45116</v>
      </c>
      <c r="AG36" s="8">
        <v>2359.6</v>
      </c>
      <c r="AH36" s="8">
        <f t="shared" si="10"/>
        <v>100.19999999999982</v>
      </c>
      <c r="AI36" s="8">
        <f t="shared" si="11"/>
        <v>4.4348057006284769</v>
      </c>
      <c r="AK36" s="13">
        <v>45116</v>
      </c>
      <c r="AL36" s="8">
        <v>253.95</v>
      </c>
      <c r="AM36" s="8">
        <f t="shared" si="12"/>
        <v>-11.550000000000011</v>
      </c>
      <c r="AN36" s="8">
        <f t="shared" si="13"/>
        <v>-4.3502824858757103</v>
      </c>
    </row>
    <row r="37" spans="2:40" x14ac:dyDescent="0.35">
      <c r="B37" s="13">
        <v>45109</v>
      </c>
      <c r="C37" s="8">
        <v>1051.5999999999999</v>
      </c>
      <c r="D37" s="8">
        <f t="shared" si="0"/>
        <v>60.149999999999864</v>
      </c>
      <c r="E37" s="8">
        <f t="shared" si="1"/>
        <v>6.0668717534923458</v>
      </c>
      <c r="G37" s="16">
        <v>45109</v>
      </c>
      <c r="H37" s="14">
        <v>3583.6</v>
      </c>
      <c r="I37" s="8">
        <v>120.65</v>
      </c>
      <c r="J37" s="8">
        <v>3.4840237369999998</v>
      </c>
      <c r="L37" s="13">
        <v>45109</v>
      </c>
      <c r="M37" s="8">
        <v>1425.1</v>
      </c>
      <c r="N37" s="8">
        <f t="shared" si="2"/>
        <v>10.349999999999909</v>
      </c>
      <c r="O37" s="8">
        <f t="shared" si="3"/>
        <v>0.7315780173175408</v>
      </c>
      <c r="Q37" s="13">
        <v>45109</v>
      </c>
      <c r="R37" s="8">
        <v>23419.15</v>
      </c>
      <c r="S37" s="8">
        <f t="shared" si="4"/>
        <v>759.85000000000218</v>
      </c>
      <c r="T37" s="8">
        <f t="shared" si="5"/>
        <v>3.353369256773167</v>
      </c>
      <c r="V37" s="13">
        <v>45109</v>
      </c>
      <c r="W37" s="8">
        <v>1014.95</v>
      </c>
      <c r="X37" s="8">
        <f t="shared" si="6"/>
        <v>25.550000000000068</v>
      </c>
      <c r="Y37" s="8">
        <f t="shared" si="7"/>
        <v>2.5823731554477529</v>
      </c>
      <c r="AA37" s="13">
        <v>45109</v>
      </c>
      <c r="AB37" s="8">
        <v>5159.6000000000004</v>
      </c>
      <c r="AC37" s="8">
        <f t="shared" si="8"/>
        <v>165.70000000000073</v>
      </c>
      <c r="AD37" s="8">
        <f t="shared" si="9"/>
        <v>3.3180480185826857</v>
      </c>
      <c r="AF37" s="13">
        <v>45109</v>
      </c>
      <c r="AG37" s="8">
        <v>2259.4</v>
      </c>
      <c r="AH37" s="8">
        <f t="shared" si="10"/>
        <v>149.55000000000018</v>
      </c>
      <c r="AI37" s="8">
        <f t="shared" si="11"/>
        <v>7.0881816242860953</v>
      </c>
      <c r="AK37" s="13">
        <v>45109</v>
      </c>
      <c r="AL37" s="8">
        <v>265.5</v>
      </c>
      <c r="AM37" s="8">
        <f t="shared" si="12"/>
        <v>28.599999999999994</v>
      </c>
      <c r="AN37" s="8">
        <f t="shared" si="13"/>
        <v>12.072604474461796</v>
      </c>
    </row>
    <row r="38" spans="2:40" x14ac:dyDescent="0.35">
      <c r="B38" s="13">
        <v>45102</v>
      </c>
      <c r="C38" s="8">
        <v>991.45</v>
      </c>
      <c r="D38" s="8">
        <f t="shared" si="0"/>
        <v>-0.54999999999995453</v>
      </c>
      <c r="E38" s="8">
        <f t="shared" si="1"/>
        <v>-5.5443548387092187E-2</v>
      </c>
      <c r="G38" s="16">
        <v>45102</v>
      </c>
      <c r="H38" s="14">
        <v>3462.95</v>
      </c>
      <c r="I38" s="8">
        <v>-116.65</v>
      </c>
      <c r="J38" s="8">
        <v>-3.258743994</v>
      </c>
      <c r="L38" s="13">
        <v>45102</v>
      </c>
      <c r="M38" s="8">
        <v>1414.75</v>
      </c>
      <c r="N38" s="8">
        <f t="shared" si="2"/>
        <v>-4.4500000000000455</v>
      </c>
      <c r="O38" s="8">
        <f t="shared" si="3"/>
        <v>-0.31355693348365593</v>
      </c>
      <c r="Q38" s="13">
        <v>45102</v>
      </c>
      <c r="R38" s="8">
        <v>22659.3</v>
      </c>
      <c r="S38" s="8">
        <f t="shared" si="4"/>
        <v>-52.200000000000728</v>
      </c>
      <c r="T38" s="8">
        <f t="shared" si="5"/>
        <v>-0.22983950861898478</v>
      </c>
      <c r="V38" s="13">
        <v>45102</v>
      </c>
      <c r="W38" s="8">
        <v>989.4</v>
      </c>
      <c r="X38" s="8">
        <f t="shared" si="6"/>
        <v>-16.649999999999977</v>
      </c>
      <c r="Y38" s="8">
        <f t="shared" si="7"/>
        <v>-1.6549873266736224</v>
      </c>
      <c r="AA38" s="13">
        <v>45102</v>
      </c>
      <c r="AB38" s="8">
        <v>4993.8999999999996</v>
      </c>
      <c r="AC38" s="8">
        <f t="shared" si="8"/>
        <v>78.849999999999454</v>
      </c>
      <c r="AD38" s="8">
        <f t="shared" si="9"/>
        <v>1.6042563147882412</v>
      </c>
      <c r="AF38" s="13">
        <v>45102</v>
      </c>
      <c r="AG38" s="8">
        <v>2109.85</v>
      </c>
      <c r="AH38" s="8">
        <f t="shared" si="10"/>
        <v>83.399999999999864</v>
      </c>
      <c r="AI38" s="8">
        <f t="shared" si="11"/>
        <v>4.115571566039125</v>
      </c>
      <c r="AK38" s="13">
        <v>45102</v>
      </c>
      <c r="AL38" s="8">
        <v>236.9</v>
      </c>
      <c r="AM38" s="8">
        <f t="shared" si="12"/>
        <v>-8</v>
      </c>
      <c r="AN38" s="8">
        <f t="shared" si="13"/>
        <v>-3.2666394446712945</v>
      </c>
    </row>
    <row r="39" spans="2:40" x14ac:dyDescent="0.35">
      <c r="B39" s="13">
        <v>45095</v>
      </c>
      <c r="C39" s="8">
        <v>992</v>
      </c>
      <c r="D39" s="8">
        <f t="shared" si="0"/>
        <v>8.0499999999999545</v>
      </c>
      <c r="E39" s="8">
        <f t="shared" si="1"/>
        <v>0.81813100259159044</v>
      </c>
      <c r="G39" s="16">
        <v>45095</v>
      </c>
      <c r="H39" s="14">
        <v>3579.6</v>
      </c>
      <c r="I39" s="8">
        <v>150.85</v>
      </c>
      <c r="J39" s="8">
        <v>4.3995625230000002</v>
      </c>
      <c r="L39" s="13">
        <v>45095</v>
      </c>
      <c r="M39" s="8">
        <v>1419.2</v>
      </c>
      <c r="N39" s="8">
        <f t="shared" si="2"/>
        <v>53.299999999999955</v>
      </c>
      <c r="O39" s="8">
        <f t="shared" si="3"/>
        <v>3.9021890328720952</v>
      </c>
      <c r="Q39" s="13">
        <v>45095</v>
      </c>
      <c r="R39" s="8">
        <v>22711.5</v>
      </c>
      <c r="S39" s="8">
        <f t="shared" si="4"/>
        <v>920.34999999999854</v>
      </c>
      <c r="T39" s="8">
        <f t="shared" si="5"/>
        <v>4.2235035782875086</v>
      </c>
      <c r="V39" s="13">
        <v>45095</v>
      </c>
      <c r="W39" s="8">
        <v>1006.05</v>
      </c>
      <c r="X39" s="8">
        <f t="shared" si="6"/>
        <v>36.799999999999955</v>
      </c>
      <c r="Y39" s="8">
        <f t="shared" si="7"/>
        <v>3.7967500644828429</v>
      </c>
      <c r="AA39" s="13">
        <v>45095</v>
      </c>
      <c r="AB39" s="8">
        <v>4915.05</v>
      </c>
      <c r="AC39" s="8">
        <f t="shared" si="8"/>
        <v>248.25</v>
      </c>
      <c r="AD39" s="8">
        <f t="shared" si="9"/>
        <v>5.3194908716893803</v>
      </c>
      <c r="AF39" s="13">
        <v>45095</v>
      </c>
      <c r="AG39" s="8">
        <v>2026.45</v>
      </c>
      <c r="AH39" s="8">
        <f t="shared" si="10"/>
        <v>70.799999999999955</v>
      </c>
      <c r="AI39" s="8">
        <f t="shared" si="11"/>
        <v>3.620279702400734</v>
      </c>
      <c r="AK39" s="13">
        <v>45095</v>
      </c>
      <c r="AL39" s="8">
        <v>244.9</v>
      </c>
      <c r="AM39" s="8">
        <f t="shared" si="12"/>
        <v>3.8000000000000114</v>
      </c>
      <c r="AN39" s="8">
        <f t="shared" si="13"/>
        <v>1.5761094981335593</v>
      </c>
    </row>
    <row r="40" spans="2:40" x14ac:dyDescent="0.35">
      <c r="B40" s="13">
        <v>45088</v>
      </c>
      <c r="C40" s="8">
        <v>983.95</v>
      </c>
      <c r="D40" s="8">
        <f t="shared" si="0"/>
        <v>-15.649999999999977</v>
      </c>
      <c r="E40" s="8">
        <f t="shared" si="1"/>
        <v>-1.5656262505001979</v>
      </c>
      <c r="G40" s="16">
        <v>45088</v>
      </c>
      <c r="H40" s="14">
        <v>3428.75</v>
      </c>
      <c r="I40" s="8">
        <v>-82.85</v>
      </c>
      <c r="J40" s="8">
        <v>-2.3593233850000002</v>
      </c>
      <c r="L40" s="13">
        <v>45088</v>
      </c>
      <c r="M40" s="8">
        <v>1365.9</v>
      </c>
      <c r="N40" s="8">
        <f t="shared" si="2"/>
        <v>-25.049999999999955</v>
      </c>
      <c r="O40" s="8">
        <f t="shared" si="3"/>
        <v>-1.8009274237032211</v>
      </c>
      <c r="Q40" s="13">
        <v>45088</v>
      </c>
      <c r="R40" s="8">
        <v>21791.15</v>
      </c>
      <c r="S40" s="8">
        <f t="shared" si="4"/>
        <v>-136.09999999999854</v>
      </c>
      <c r="T40" s="8">
        <f t="shared" si="5"/>
        <v>-0.62068886887319907</v>
      </c>
      <c r="V40" s="13">
        <v>45088</v>
      </c>
      <c r="W40" s="8">
        <v>969.25</v>
      </c>
      <c r="X40" s="8">
        <f t="shared" si="6"/>
        <v>3.3999999999999773</v>
      </c>
      <c r="Y40" s="8">
        <f t="shared" si="7"/>
        <v>0.35202153543510661</v>
      </c>
      <c r="AA40" s="13">
        <v>45088</v>
      </c>
      <c r="AB40" s="8">
        <v>4666.8</v>
      </c>
      <c r="AC40" s="8">
        <f t="shared" si="8"/>
        <v>56.350000000000364</v>
      </c>
      <c r="AD40" s="8">
        <f t="shared" si="9"/>
        <v>1.2222234272142711</v>
      </c>
      <c r="AF40" s="13">
        <v>45088</v>
      </c>
      <c r="AG40" s="8">
        <v>1955.65</v>
      </c>
      <c r="AH40" s="8">
        <f t="shared" si="10"/>
        <v>-59.549999999999955</v>
      </c>
      <c r="AI40" s="8">
        <f t="shared" si="11"/>
        <v>-2.9550416832076198</v>
      </c>
      <c r="AK40" s="13">
        <v>45088</v>
      </c>
      <c r="AL40" s="8">
        <v>241.1</v>
      </c>
      <c r="AM40" s="8">
        <f t="shared" si="12"/>
        <v>0.84999999999999432</v>
      </c>
      <c r="AN40" s="8">
        <f t="shared" si="13"/>
        <v>0.35379812695109025</v>
      </c>
    </row>
    <row r="41" spans="2:40" x14ac:dyDescent="0.35">
      <c r="B41" s="13">
        <v>45081</v>
      </c>
      <c r="C41" s="8">
        <v>999.6</v>
      </c>
      <c r="D41" s="8">
        <f t="shared" si="0"/>
        <v>29.700000000000045</v>
      </c>
      <c r="E41" s="8">
        <f t="shared" si="1"/>
        <v>3.0621713578719505</v>
      </c>
      <c r="G41" s="16">
        <v>45081</v>
      </c>
      <c r="H41" s="14">
        <v>3511.6</v>
      </c>
      <c r="I41" s="8">
        <v>-2.4</v>
      </c>
      <c r="J41" s="8">
        <v>-6.8298235629999995E-2</v>
      </c>
      <c r="L41" s="13">
        <v>45081</v>
      </c>
      <c r="M41" s="8">
        <v>1390.95</v>
      </c>
      <c r="N41" s="8">
        <f t="shared" si="2"/>
        <v>81.950000000000045</v>
      </c>
      <c r="O41" s="8">
        <f t="shared" si="3"/>
        <v>6.2605042016806749</v>
      </c>
      <c r="Q41" s="13">
        <v>45081</v>
      </c>
      <c r="R41" s="8">
        <v>21927.25</v>
      </c>
      <c r="S41" s="8">
        <f t="shared" si="4"/>
        <v>25.799999999999272</v>
      </c>
      <c r="T41" s="8">
        <f t="shared" si="5"/>
        <v>0.11780041960691767</v>
      </c>
      <c r="V41" s="13">
        <v>45081</v>
      </c>
      <c r="W41" s="8">
        <v>965.85</v>
      </c>
      <c r="X41" s="8">
        <f t="shared" si="6"/>
        <v>14.5</v>
      </c>
      <c r="Y41" s="8">
        <f t="shared" si="7"/>
        <v>1.5241498922583696</v>
      </c>
      <c r="AA41" s="13">
        <v>45081</v>
      </c>
      <c r="AB41" s="8">
        <v>4610.45</v>
      </c>
      <c r="AC41" s="8">
        <f t="shared" si="8"/>
        <v>79.5</v>
      </c>
      <c r="AD41" s="8">
        <f t="shared" si="9"/>
        <v>1.7545989251702183</v>
      </c>
      <c r="AF41" s="13">
        <v>45081</v>
      </c>
      <c r="AG41" s="8">
        <v>2015.2</v>
      </c>
      <c r="AH41" s="8">
        <f t="shared" si="10"/>
        <v>-10.75</v>
      </c>
      <c r="AI41" s="8">
        <f t="shared" si="11"/>
        <v>-0.53061526691181915</v>
      </c>
      <c r="AK41" s="13">
        <v>45081</v>
      </c>
      <c r="AL41" s="8">
        <v>240.25</v>
      </c>
      <c r="AM41" s="8">
        <f t="shared" si="12"/>
        <v>0.80000000000001137</v>
      </c>
      <c r="AN41" s="8">
        <f t="shared" si="13"/>
        <v>0.33409897682188827</v>
      </c>
    </row>
    <row r="42" spans="2:40" x14ac:dyDescent="0.35">
      <c r="B42" s="13">
        <v>45074</v>
      </c>
      <c r="C42" s="8">
        <v>969.9</v>
      </c>
      <c r="D42" s="8">
        <f t="shared" si="0"/>
        <v>44.049999999999955</v>
      </c>
      <c r="E42" s="8">
        <f t="shared" si="1"/>
        <v>4.7577901387913757</v>
      </c>
      <c r="G42" s="16">
        <v>45074</v>
      </c>
      <c r="H42" s="14">
        <v>3514</v>
      </c>
      <c r="I42" s="8">
        <v>415.7</v>
      </c>
      <c r="J42" s="8">
        <v>13.41703515</v>
      </c>
      <c r="L42" s="13">
        <v>45074</v>
      </c>
      <c r="M42" s="8">
        <v>1309</v>
      </c>
      <c r="N42" s="8">
        <f t="shared" si="2"/>
        <v>18.549999999999955</v>
      </c>
      <c r="O42" s="8">
        <f t="shared" si="3"/>
        <v>1.4374830485489523</v>
      </c>
      <c r="Q42" s="13">
        <v>45074</v>
      </c>
      <c r="R42" s="8">
        <v>21901.45</v>
      </c>
      <c r="S42" s="8">
        <f t="shared" si="4"/>
        <v>1003</v>
      </c>
      <c r="T42" s="8">
        <f t="shared" si="5"/>
        <v>4.7993989984903189</v>
      </c>
      <c r="V42" s="13">
        <v>45074</v>
      </c>
      <c r="W42" s="8">
        <v>951.35</v>
      </c>
      <c r="X42" s="8">
        <f t="shared" si="6"/>
        <v>35.100000000000023</v>
      </c>
      <c r="Y42" s="8">
        <f t="shared" si="7"/>
        <v>3.8308321964529357</v>
      </c>
      <c r="AA42" s="13">
        <v>45074</v>
      </c>
      <c r="AB42" s="8">
        <v>4530.95</v>
      </c>
      <c r="AC42" s="8">
        <f t="shared" si="8"/>
        <v>139</v>
      </c>
      <c r="AD42" s="8">
        <f t="shared" si="9"/>
        <v>3.164881203110236</v>
      </c>
      <c r="AF42" s="13">
        <v>45074</v>
      </c>
      <c r="AG42" s="8">
        <v>2025.95</v>
      </c>
      <c r="AH42" s="8">
        <f t="shared" si="10"/>
        <v>85.799999999999955</v>
      </c>
      <c r="AI42" s="8">
        <f t="shared" si="11"/>
        <v>4.4223384789835816</v>
      </c>
      <c r="AK42" s="13">
        <v>45074</v>
      </c>
      <c r="AL42" s="8">
        <v>239.45</v>
      </c>
      <c r="AM42" s="8">
        <f t="shared" si="12"/>
        <v>-2.3000000000000114</v>
      </c>
      <c r="AN42" s="8">
        <f t="shared" si="13"/>
        <v>-0.95139607032058382</v>
      </c>
    </row>
    <row r="43" spans="2:40" x14ac:dyDescent="0.35">
      <c r="B43" s="13">
        <v>45067</v>
      </c>
      <c r="C43" s="8">
        <v>925.85</v>
      </c>
      <c r="D43" s="8">
        <f t="shared" si="0"/>
        <v>-30.149999999999977</v>
      </c>
      <c r="E43" s="8">
        <f t="shared" si="1"/>
        <v>-3.1537656903765665</v>
      </c>
      <c r="G43" s="16">
        <v>45067</v>
      </c>
      <c r="H43" s="14">
        <v>3098.3</v>
      </c>
      <c r="I43" s="8">
        <v>-216.75</v>
      </c>
      <c r="J43" s="8">
        <v>-6.538362921</v>
      </c>
      <c r="L43" s="13">
        <v>45067</v>
      </c>
      <c r="M43" s="8">
        <v>1290.45</v>
      </c>
      <c r="N43" s="8">
        <f t="shared" si="2"/>
        <v>14.450000000000045</v>
      </c>
      <c r="O43" s="8">
        <f t="shared" si="3"/>
        <v>1.1324451410658343</v>
      </c>
      <c r="Q43" s="13">
        <v>45067</v>
      </c>
      <c r="R43" s="8">
        <v>20898.45</v>
      </c>
      <c r="S43" s="8">
        <f t="shared" si="4"/>
        <v>-330.95000000000073</v>
      </c>
      <c r="T43" s="8">
        <f t="shared" si="5"/>
        <v>-1.5589230030052696</v>
      </c>
      <c r="V43" s="13">
        <v>45067</v>
      </c>
      <c r="W43" s="8">
        <v>916.25</v>
      </c>
      <c r="X43" s="8">
        <f t="shared" si="6"/>
        <v>-21.200000000000045</v>
      </c>
      <c r="Y43" s="8">
        <f t="shared" si="7"/>
        <v>-2.2614539442103627</v>
      </c>
      <c r="AA43" s="13">
        <v>45067</v>
      </c>
      <c r="AB43" s="8">
        <v>4391.95</v>
      </c>
      <c r="AC43" s="8">
        <f t="shared" si="8"/>
        <v>-74.150000000000546</v>
      </c>
      <c r="AD43" s="8">
        <f t="shared" si="9"/>
        <v>-1.6602852600703195</v>
      </c>
      <c r="AF43" s="13">
        <v>45067</v>
      </c>
      <c r="AG43" s="8">
        <v>1940.15</v>
      </c>
      <c r="AH43" s="8">
        <f t="shared" si="10"/>
        <v>-100.75</v>
      </c>
      <c r="AI43" s="8">
        <f t="shared" si="11"/>
        <v>-4.9365476015483365</v>
      </c>
      <c r="AK43" s="13">
        <v>45067</v>
      </c>
      <c r="AL43" s="8">
        <v>241.75</v>
      </c>
      <c r="AM43" s="8">
        <f t="shared" si="12"/>
        <v>-3.3499999999999943</v>
      </c>
      <c r="AN43" s="8">
        <f t="shared" si="13"/>
        <v>-1.3667890656874722</v>
      </c>
    </row>
    <row r="44" spans="2:40" x14ac:dyDescent="0.35">
      <c r="B44" s="13">
        <v>45060</v>
      </c>
      <c r="C44" s="8">
        <v>956</v>
      </c>
      <c r="D44" s="8">
        <f t="shared" si="0"/>
        <v>-14.450000000000045</v>
      </c>
      <c r="E44" s="8">
        <f t="shared" si="1"/>
        <v>-1.4889999484775152</v>
      </c>
      <c r="G44" s="16">
        <v>45060</v>
      </c>
      <c r="H44" s="14">
        <v>3315.05</v>
      </c>
      <c r="I44" s="8">
        <v>24.25</v>
      </c>
      <c r="J44" s="8">
        <v>0.73690288079999999</v>
      </c>
      <c r="L44" s="13">
        <v>45060</v>
      </c>
      <c r="M44" s="8">
        <v>1276</v>
      </c>
      <c r="N44" s="8">
        <f t="shared" si="2"/>
        <v>26.849999999999909</v>
      </c>
      <c r="O44" s="8">
        <f t="shared" si="3"/>
        <v>2.1494616339110522</v>
      </c>
      <c r="Q44" s="13">
        <v>45060</v>
      </c>
      <c r="R44" s="8">
        <v>21229.4</v>
      </c>
      <c r="S44" s="8">
        <f t="shared" si="4"/>
        <v>-1421.3999999999978</v>
      </c>
      <c r="T44" s="8">
        <f t="shared" si="5"/>
        <v>-6.2752750454729975</v>
      </c>
      <c r="V44" s="13">
        <v>45060</v>
      </c>
      <c r="W44" s="8">
        <v>937.45</v>
      </c>
      <c r="X44" s="8">
        <f t="shared" si="6"/>
        <v>12.650000000000091</v>
      </c>
      <c r="Y44" s="8">
        <f t="shared" si="7"/>
        <v>1.3678633217993179</v>
      </c>
      <c r="AA44" s="13">
        <v>45060</v>
      </c>
      <c r="AB44" s="8">
        <v>4466.1000000000004</v>
      </c>
      <c r="AC44" s="8">
        <f t="shared" si="8"/>
        <v>-476.39999999999964</v>
      </c>
      <c r="AD44" s="8">
        <f t="shared" si="9"/>
        <v>-9.6388467374810247</v>
      </c>
      <c r="AF44" s="13">
        <v>45060</v>
      </c>
      <c r="AG44" s="8">
        <v>2040.9</v>
      </c>
      <c r="AH44" s="8">
        <f t="shared" si="10"/>
        <v>95.400000000000091</v>
      </c>
      <c r="AI44" s="8">
        <f t="shared" si="11"/>
        <v>4.9036237471087167</v>
      </c>
      <c r="AK44" s="13">
        <v>45060</v>
      </c>
      <c r="AL44" s="8">
        <v>245.1</v>
      </c>
      <c r="AM44" s="8">
        <f t="shared" si="12"/>
        <v>2.25</v>
      </c>
      <c r="AN44" s="8">
        <f t="shared" si="13"/>
        <v>0.92649783817171094</v>
      </c>
    </row>
    <row r="45" spans="2:40" x14ac:dyDescent="0.35">
      <c r="B45" s="13">
        <v>45053</v>
      </c>
      <c r="C45" s="8">
        <v>970.45</v>
      </c>
      <c r="D45" s="8">
        <f t="shared" si="0"/>
        <v>-17.199999999999932</v>
      </c>
      <c r="E45" s="8">
        <f t="shared" si="1"/>
        <v>-1.7415076190958267</v>
      </c>
      <c r="G45" s="16">
        <v>45053</v>
      </c>
      <c r="H45" s="14">
        <v>3290.8</v>
      </c>
      <c r="I45" s="8">
        <v>22.9</v>
      </c>
      <c r="J45" s="8">
        <v>0.7007558371</v>
      </c>
      <c r="L45" s="13">
        <v>45053</v>
      </c>
      <c r="M45" s="8">
        <v>1249.1500000000001</v>
      </c>
      <c r="N45" s="8">
        <f t="shared" si="2"/>
        <v>7.25</v>
      </c>
      <c r="O45" s="8">
        <f t="shared" si="3"/>
        <v>0.58378291327804166</v>
      </c>
      <c r="Q45" s="13">
        <v>45053</v>
      </c>
      <c r="R45" s="8">
        <v>22650.799999999999</v>
      </c>
      <c r="S45" s="8">
        <f t="shared" si="4"/>
        <v>353.54999999999927</v>
      </c>
      <c r="T45" s="8">
        <f t="shared" si="5"/>
        <v>1.58562154525782</v>
      </c>
      <c r="V45" s="13">
        <v>45053</v>
      </c>
      <c r="W45" s="8">
        <v>924.8</v>
      </c>
      <c r="X45" s="8">
        <f t="shared" si="6"/>
        <v>16.75</v>
      </c>
      <c r="Y45" s="8">
        <f t="shared" si="7"/>
        <v>1.8446120808325535</v>
      </c>
      <c r="AA45" s="13">
        <v>45053</v>
      </c>
      <c r="AB45" s="8">
        <v>4942.5</v>
      </c>
      <c r="AC45" s="8">
        <f t="shared" si="8"/>
        <v>12.649999999999636</v>
      </c>
      <c r="AD45" s="8">
        <f t="shared" si="9"/>
        <v>0.25660009939449752</v>
      </c>
      <c r="AF45" s="13">
        <v>45053</v>
      </c>
      <c r="AG45" s="8">
        <v>1945.5</v>
      </c>
      <c r="AH45" s="8">
        <f t="shared" si="10"/>
        <v>-9</v>
      </c>
      <c r="AI45" s="8">
        <f t="shared" si="11"/>
        <v>-0.46047582501918649</v>
      </c>
      <c r="AK45" s="13">
        <v>45053</v>
      </c>
      <c r="AL45" s="8">
        <v>242.85</v>
      </c>
      <c r="AM45" s="8">
        <f t="shared" si="12"/>
        <v>10.299999999999983</v>
      </c>
      <c r="AN45" s="8">
        <f t="shared" si="13"/>
        <v>4.4291550204257071</v>
      </c>
    </row>
    <row r="46" spans="2:40" x14ac:dyDescent="0.35">
      <c r="B46" s="13">
        <v>45046</v>
      </c>
      <c r="C46" s="8">
        <v>987.65</v>
      </c>
      <c r="D46" s="8">
        <f t="shared" si="0"/>
        <v>-1.8000000000000682</v>
      </c>
      <c r="E46" s="8">
        <f t="shared" si="1"/>
        <v>-0.18191924806711487</v>
      </c>
      <c r="G46" s="16">
        <v>45046</v>
      </c>
      <c r="H46" s="14">
        <v>3267.9</v>
      </c>
      <c r="I46" s="8">
        <v>36.25</v>
      </c>
      <c r="J46" s="8">
        <v>1.121718008</v>
      </c>
      <c r="L46" s="13">
        <v>45046</v>
      </c>
      <c r="M46" s="8">
        <v>1241.9000000000001</v>
      </c>
      <c r="N46" s="8">
        <f t="shared" si="2"/>
        <v>1.7000000000000455</v>
      </c>
      <c r="O46" s="8">
        <f t="shared" si="3"/>
        <v>0.13707466537655583</v>
      </c>
      <c r="Q46" s="13">
        <v>45046</v>
      </c>
      <c r="R46" s="8">
        <v>22297.25</v>
      </c>
      <c r="S46" s="8">
        <f t="shared" si="4"/>
        <v>-137.45000000000073</v>
      </c>
      <c r="T46" s="8">
        <f t="shared" si="5"/>
        <v>-0.61266698462649705</v>
      </c>
      <c r="V46" s="13">
        <v>45046</v>
      </c>
      <c r="W46" s="8">
        <v>908.05</v>
      </c>
      <c r="X46" s="8">
        <f t="shared" si="6"/>
        <v>-7</v>
      </c>
      <c r="Y46" s="8">
        <f t="shared" si="7"/>
        <v>-0.76498551991694441</v>
      </c>
      <c r="AA46" s="13">
        <v>45046</v>
      </c>
      <c r="AB46" s="8">
        <v>4929.8500000000004</v>
      </c>
      <c r="AC46" s="8">
        <f t="shared" si="8"/>
        <v>61.100000000000364</v>
      </c>
      <c r="AD46" s="8">
        <f t="shared" si="9"/>
        <v>1.2549422336328702</v>
      </c>
      <c r="AF46" s="13">
        <v>45046</v>
      </c>
      <c r="AG46" s="8">
        <v>1954.5</v>
      </c>
      <c r="AH46" s="8">
        <f t="shared" si="10"/>
        <v>45.349999999999909</v>
      </c>
      <c r="AI46" s="8">
        <f t="shared" si="11"/>
        <v>2.375402666107949</v>
      </c>
      <c r="AK46" s="13">
        <v>45046</v>
      </c>
      <c r="AL46" s="8">
        <v>232.55</v>
      </c>
      <c r="AM46" s="8">
        <f t="shared" si="12"/>
        <v>3.7000000000000171</v>
      </c>
      <c r="AN46" s="8">
        <f t="shared" si="13"/>
        <v>1.6167795499235382</v>
      </c>
    </row>
    <row r="47" spans="2:40" x14ac:dyDescent="0.35">
      <c r="B47" s="13">
        <v>45039</v>
      </c>
      <c r="C47" s="8">
        <v>989.45</v>
      </c>
      <c r="D47" s="8">
        <f t="shared" si="0"/>
        <v>-14.049999999999955</v>
      </c>
      <c r="E47" s="8">
        <f t="shared" si="1"/>
        <v>-1.4000996512207229</v>
      </c>
      <c r="G47" s="16">
        <v>45039</v>
      </c>
      <c r="H47" s="14">
        <v>3231.65</v>
      </c>
      <c r="I47" s="8">
        <v>47.7</v>
      </c>
      <c r="J47" s="8">
        <v>1.4981391040000001</v>
      </c>
      <c r="L47" s="13">
        <v>45039</v>
      </c>
      <c r="M47" s="8">
        <v>1240.2</v>
      </c>
      <c r="N47" s="8">
        <f t="shared" si="2"/>
        <v>-17.599999999999909</v>
      </c>
      <c r="O47" s="8">
        <f t="shared" si="3"/>
        <v>-1.3992685641596367</v>
      </c>
      <c r="Q47" s="13">
        <v>45039</v>
      </c>
      <c r="R47" s="8">
        <v>22434.7</v>
      </c>
      <c r="S47" s="8">
        <f t="shared" si="4"/>
        <v>-59</v>
      </c>
      <c r="T47" s="8">
        <f t="shared" si="5"/>
        <v>-0.26229566500842455</v>
      </c>
      <c r="V47" s="13">
        <v>45039</v>
      </c>
      <c r="W47" s="8">
        <v>915.05</v>
      </c>
      <c r="X47" s="8">
        <f t="shared" si="6"/>
        <v>-0.70000000000004547</v>
      </c>
      <c r="Y47" s="8">
        <f t="shared" si="7"/>
        <v>-7.6440076440081411E-2</v>
      </c>
      <c r="AA47" s="13">
        <v>45039</v>
      </c>
      <c r="AB47" s="8">
        <v>4868.75</v>
      </c>
      <c r="AC47" s="8">
        <f t="shared" si="8"/>
        <v>15.850000000000364</v>
      </c>
      <c r="AD47" s="8">
        <f t="shared" si="9"/>
        <v>0.32660883183252004</v>
      </c>
      <c r="AF47" s="13">
        <v>45039</v>
      </c>
      <c r="AG47" s="8">
        <v>1909.15</v>
      </c>
      <c r="AH47" s="8">
        <f t="shared" si="10"/>
        <v>0.90000000000009095</v>
      </c>
      <c r="AI47" s="8">
        <f t="shared" si="11"/>
        <v>4.7163631599637941E-2</v>
      </c>
      <c r="AK47" s="13">
        <v>45039</v>
      </c>
      <c r="AL47" s="8">
        <v>228.85</v>
      </c>
      <c r="AM47" s="8">
        <f t="shared" si="12"/>
        <v>4.75</v>
      </c>
      <c r="AN47" s="8">
        <f t="shared" si="13"/>
        <v>2.1195894689870594</v>
      </c>
    </row>
    <row r="48" spans="2:40" x14ac:dyDescent="0.35">
      <c r="B48" s="13">
        <v>45032</v>
      </c>
      <c r="C48" s="8">
        <v>1003.5</v>
      </c>
      <c r="D48" s="8">
        <f t="shared" si="0"/>
        <v>-8.6000000000000227</v>
      </c>
      <c r="E48" s="8">
        <f t="shared" si="1"/>
        <v>-0.84971840727201087</v>
      </c>
      <c r="G48" s="16">
        <v>45032</v>
      </c>
      <c r="H48" s="14">
        <v>3183.95</v>
      </c>
      <c r="I48" s="8">
        <v>262.5</v>
      </c>
      <c r="J48" s="8">
        <v>8.9852641670000004</v>
      </c>
      <c r="L48" s="13">
        <v>45032</v>
      </c>
      <c r="M48" s="8">
        <v>1257.8</v>
      </c>
      <c r="N48" s="8">
        <f t="shared" si="2"/>
        <v>-42.25</v>
      </c>
      <c r="O48" s="8">
        <f t="shared" si="3"/>
        <v>-3.2498750048075076</v>
      </c>
      <c r="Q48" s="13">
        <v>45032</v>
      </c>
      <c r="R48" s="8">
        <v>22493.7</v>
      </c>
      <c r="S48" s="8">
        <f t="shared" si="4"/>
        <v>-387.25</v>
      </c>
      <c r="T48" s="8">
        <f t="shared" si="5"/>
        <v>-1.6924559513481738</v>
      </c>
      <c r="V48" s="13">
        <v>45032</v>
      </c>
      <c r="W48" s="8">
        <v>915.75</v>
      </c>
      <c r="X48" s="8">
        <f t="shared" si="6"/>
        <v>22.399999999999977</v>
      </c>
      <c r="Y48" s="8">
        <f t="shared" si="7"/>
        <v>2.507415906419654</v>
      </c>
      <c r="AA48" s="13">
        <v>45032</v>
      </c>
      <c r="AB48" s="8">
        <v>4852.8999999999996</v>
      </c>
      <c r="AC48" s="8">
        <f t="shared" si="8"/>
        <v>153.5</v>
      </c>
      <c r="AD48" s="8">
        <f t="shared" si="9"/>
        <v>3.2663744307783973</v>
      </c>
      <c r="AF48" s="13">
        <v>45032</v>
      </c>
      <c r="AG48" s="8">
        <v>1908.25</v>
      </c>
      <c r="AH48" s="8">
        <f t="shared" si="10"/>
        <v>72.150000000000091</v>
      </c>
      <c r="AI48" s="8">
        <f t="shared" si="11"/>
        <v>3.9295245357006752</v>
      </c>
      <c r="AK48" s="13">
        <v>45032</v>
      </c>
      <c r="AL48" s="8">
        <v>224.1</v>
      </c>
      <c r="AM48" s="8">
        <f t="shared" si="12"/>
        <v>8.2999999999999829</v>
      </c>
      <c r="AN48" s="8">
        <f t="shared" si="13"/>
        <v>3.8461538461538383</v>
      </c>
    </row>
    <row r="49" spans="2:40" x14ac:dyDescent="0.35">
      <c r="B49" s="13">
        <v>45025</v>
      </c>
      <c r="C49" s="8">
        <v>1012.1</v>
      </c>
      <c r="D49" s="8">
        <f t="shared" si="0"/>
        <v>29</v>
      </c>
      <c r="E49" s="8">
        <f t="shared" si="1"/>
        <v>2.9498525073746311</v>
      </c>
      <c r="G49" s="16">
        <v>45025</v>
      </c>
      <c r="H49" s="14">
        <v>2921.45</v>
      </c>
      <c r="I49" s="8">
        <v>98.1</v>
      </c>
      <c r="J49" s="8">
        <v>3.4745957820000002</v>
      </c>
      <c r="L49" s="13">
        <v>45025</v>
      </c>
      <c r="M49" s="8">
        <v>1300.05</v>
      </c>
      <c r="N49" s="8">
        <f t="shared" si="2"/>
        <v>-24.700000000000045</v>
      </c>
      <c r="O49" s="8">
        <f t="shared" si="3"/>
        <v>-1.8645027363653555</v>
      </c>
      <c r="Q49" s="13">
        <v>45025</v>
      </c>
      <c r="R49" s="8">
        <v>22880.95</v>
      </c>
      <c r="S49" s="8">
        <f t="shared" si="4"/>
        <v>816.10000000000218</v>
      </c>
      <c r="T49" s="8">
        <f t="shared" si="5"/>
        <v>3.6986428641028706</v>
      </c>
      <c r="V49" s="13">
        <v>45025</v>
      </c>
      <c r="W49" s="8">
        <v>893.35</v>
      </c>
      <c r="X49" s="8">
        <f t="shared" si="6"/>
        <v>-7.1499999999999773</v>
      </c>
      <c r="Y49" s="8">
        <f t="shared" si="7"/>
        <v>-0.79400333148250724</v>
      </c>
      <c r="AA49" s="13">
        <v>45025</v>
      </c>
      <c r="AB49" s="8">
        <v>4699.3999999999996</v>
      </c>
      <c r="AC49" s="8">
        <f t="shared" si="8"/>
        <v>76.649999999999636</v>
      </c>
      <c r="AD49" s="8">
        <f t="shared" si="9"/>
        <v>1.6581039424584854</v>
      </c>
      <c r="AF49" s="13">
        <v>45025</v>
      </c>
      <c r="AG49" s="8">
        <v>1836.1</v>
      </c>
      <c r="AH49" s="8">
        <f t="shared" si="10"/>
        <v>8</v>
      </c>
      <c r="AI49" s="8">
        <f t="shared" si="11"/>
        <v>0.43761282205568625</v>
      </c>
      <c r="AK49" s="13">
        <v>45025</v>
      </c>
      <c r="AL49" s="8">
        <v>215.8</v>
      </c>
      <c r="AM49" s="8">
        <f t="shared" si="12"/>
        <v>9.4500000000000171</v>
      </c>
      <c r="AN49" s="8">
        <f t="shared" si="13"/>
        <v>4.5795977707778128</v>
      </c>
    </row>
    <row r="50" spans="2:40" x14ac:dyDescent="0.35">
      <c r="B50" s="13">
        <v>45018</v>
      </c>
      <c r="C50" s="8">
        <v>983.1</v>
      </c>
      <c r="D50" s="8">
        <f t="shared" si="0"/>
        <v>10.25</v>
      </c>
      <c r="E50" s="8">
        <f t="shared" si="1"/>
        <v>1.0536053862363159</v>
      </c>
      <c r="G50" s="16">
        <v>45018</v>
      </c>
      <c r="H50" s="14">
        <v>2823.35</v>
      </c>
      <c r="I50" s="8">
        <v>16.350000000000001</v>
      </c>
      <c r="J50" s="8">
        <v>0.58247239049999999</v>
      </c>
      <c r="L50" s="13">
        <v>45018</v>
      </c>
      <c r="M50" s="8">
        <v>1324.75</v>
      </c>
      <c r="N50" s="8">
        <f t="shared" si="2"/>
        <v>36.299999999999955</v>
      </c>
      <c r="O50" s="8">
        <f t="shared" si="3"/>
        <v>2.8173386627342896</v>
      </c>
      <c r="Q50" s="13">
        <v>45018</v>
      </c>
      <c r="R50" s="8">
        <v>22064.85</v>
      </c>
      <c r="S50" s="8">
        <f t="shared" si="4"/>
        <v>935.94999999999709</v>
      </c>
      <c r="T50" s="8">
        <f t="shared" si="5"/>
        <v>4.4297147508862125</v>
      </c>
      <c r="V50" s="13">
        <v>45018</v>
      </c>
      <c r="W50" s="8">
        <v>900.5</v>
      </c>
      <c r="X50" s="8">
        <f t="shared" si="6"/>
        <v>23.25</v>
      </c>
      <c r="Y50" s="8">
        <f t="shared" si="7"/>
        <v>2.6503277286976346</v>
      </c>
      <c r="AA50" s="13">
        <v>45018</v>
      </c>
      <c r="AB50" s="8">
        <v>4622.75</v>
      </c>
      <c r="AC50" s="8">
        <f t="shared" si="8"/>
        <v>158.60000000000036</v>
      </c>
      <c r="AD50" s="8">
        <f t="shared" si="9"/>
        <v>3.5527480035393162</v>
      </c>
      <c r="AF50" s="13">
        <v>45018</v>
      </c>
      <c r="AG50" s="8">
        <v>1828.1</v>
      </c>
      <c r="AH50" s="8">
        <f t="shared" si="10"/>
        <v>11</v>
      </c>
      <c r="AI50" s="8">
        <f t="shared" si="11"/>
        <v>0.60536018931264102</v>
      </c>
      <c r="AK50" s="13">
        <v>45018</v>
      </c>
      <c r="AL50" s="8">
        <v>206.35</v>
      </c>
      <c r="AM50" s="8">
        <f t="shared" si="12"/>
        <v>7.6500000000000057</v>
      </c>
      <c r="AN50" s="8">
        <f t="shared" si="13"/>
        <v>3.8500251635631635</v>
      </c>
    </row>
    <row r="51" spans="2:40" x14ac:dyDescent="0.35">
      <c r="B51" s="13">
        <v>45011</v>
      </c>
      <c r="C51" s="8">
        <v>972.85</v>
      </c>
      <c r="D51" s="8">
        <f t="shared" si="0"/>
        <v>15.149999999999977</v>
      </c>
      <c r="E51" s="8">
        <f t="shared" si="1"/>
        <v>1.5819150046987549</v>
      </c>
      <c r="G51" s="16">
        <v>45011</v>
      </c>
      <c r="H51" s="14">
        <v>2807</v>
      </c>
      <c r="I51" s="8">
        <v>15.5</v>
      </c>
      <c r="J51" s="8">
        <v>0.55525703029999995</v>
      </c>
      <c r="L51" s="13">
        <v>45011</v>
      </c>
      <c r="M51" s="8">
        <v>1288.45</v>
      </c>
      <c r="N51" s="8">
        <f t="shared" si="2"/>
        <v>1.0499999999999545</v>
      </c>
      <c r="O51" s="8">
        <f t="shared" si="3"/>
        <v>8.1559732794776643E-2</v>
      </c>
      <c r="Q51" s="13">
        <v>45011</v>
      </c>
      <c r="R51" s="8">
        <v>21128.9</v>
      </c>
      <c r="S51" s="8">
        <f t="shared" si="4"/>
        <v>200.60000000000218</v>
      </c>
      <c r="T51" s="8">
        <f t="shared" si="5"/>
        <v>0.95851072471248111</v>
      </c>
      <c r="V51" s="13">
        <v>45011</v>
      </c>
      <c r="W51" s="8">
        <v>877.25</v>
      </c>
      <c r="X51" s="8">
        <f t="shared" si="6"/>
        <v>3.2000000000000455</v>
      </c>
      <c r="Y51" s="8">
        <f t="shared" si="7"/>
        <v>0.36611177850237925</v>
      </c>
      <c r="AA51" s="13">
        <v>45011</v>
      </c>
      <c r="AB51" s="8">
        <v>4464.1499999999996</v>
      </c>
      <c r="AC51" s="8">
        <f t="shared" si="8"/>
        <v>28</v>
      </c>
      <c r="AD51" s="8">
        <f t="shared" si="9"/>
        <v>0.63117793582272919</v>
      </c>
      <c r="AF51" s="13">
        <v>45011</v>
      </c>
      <c r="AG51" s="8">
        <v>1817.1</v>
      </c>
      <c r="AH51" s="8">
        <f t="shared" si="10"/>
        <v>-11.200000000000045</v>
      </c>
      <c r="AI51" s="8">
        <f t="shared" si="11"/>
        <v>-0.6125909314663921</v>
      </c>
      <c r="AK51" s="13">
        <v>45011</v>
      </c>
      <c r="AL51" s="8">
        <v>198.7</v>
      </c>
      <c r="AM51" s="8">
        <f t="shared" si="12"/>
        <v>-3.6000000000000227</v>
      </c>
      <c r="AN51" s="8">
        <f t="shared" si="13"/>
        <v>-1.7795353435491956</v>
      </c>
    </row>
    <row r="52" spans="2:40" x14ac:dyDescent="0.35">
      <c r="B52" s="13">
        <v>45004</v>
      </c>
      <c r="C52" s="8">
        <v>957.7</v>
      </c>
      <c r="D52" s="8">
        <f t="shared" si="0"/>
        <v>2.1500000000000909</v>
      </c>
      <c r="E52" s="8">
        <f t="shared" si="1"/>
        <v>0.22500130814714991</v>
      </c>
      <c r="G52" s="16">
        <v>45004</v>
      </c>
      <c r="H52" s="14">
        <v>2791.5</v>
      </c>
      <c r="I52" s="8">
        <v>4</v>
      </c>
      <c r="J52" s="8">
        <v>0.14349775779999999</v>
      </c>
      <c r="L52" s="13">
        <v>45004</v>
      </c>
      <c r="M52" s="8">
        <v>1287.4000000000001</v>
      </c>
      <c r="N52" s="8">
        <f t="shared" si="2"/>
        <v>-10.149999999999864</v>
      </c>
      <c r="O52" s="8">
        <f t="shared" si="3"/>
        <v>-0.78224345882623902</v>
      </c>
      <c r="Q52" s="13">
        <v>45004</v>
      </c>
      <c r="R52" s="8">
        <v>20928.3</v>
      </c>
      <c r="S52" s="8">
        <f t="shared" si="4"/>
        <v>373.64999999999782</v>
      </c>
      <c r="T52" s="8">
        <f t="shared" si="5"/>
        <v>1.8178368398391498</v>
      </c>
      <c r="V52" s="13">
        <v>45004</v>
      </c>
      <c r="W52" s="8">
        <v>874.05</v>
      </c>
      <c r="X52" s="8">
        <f t="shared" si="6"/>
        <v>-7.1500000000000909</v>
      </c>
      <c r="Y52" s="8">
        <f t="shared" si="7"/>
        <v>-0.81139355424422277</v>
      </c>
      <c r="AA52" s="13">
        <v>45004</v>
      </c>
      <c r="AB52" s="8">
        <v>4436.1499999999996</v>
      </c>
      <c r="AC52" s="8">
        <f t="shared" si="8"/>
        <v>40.599999999999454</v>
      </c>
      <c r="AD52" s="8">
        <f t="shared" si="9"/>
        <v>0.92366143031018766</v>
      </c>
      <c r="AF52" s="13">
        <v>45004</v>
      </c>
      <c r="AG52" s="8">
        <v>1828.3</v>
      </c>
      <c r="AH52" s="8">
        <f t="shared" si="10"/>
        <v>-2.25</v>
      </c>
      <c r="AI52" s="8">
        <f t="shared" si="11"/>
        <v>-0.12291387834257464</v>
      </c>
      <c r="AK52" s="13">
        <v>45004</v>
      </c>
      <c r="AL52" s="8">
        <v>202.3</v>
      </c>
      <c r="AM52" s="8">
        <f t="shared" si="12"/>
        <v>-21.449999999999989</v>
      </c>
      <c r="AN52" s="8">
        <f t="shared" si="13"/>
        <v>-9.586592178770946</v>
      </c>
    </row>
    <row r="53" spans="2:40" x14ac:dyDescent="0.35">
      <c r="B53" s="13">
        <v>44997</v>
      </c>
      <c r="C53" s="8">
        <v>955.55</v>
      </c>
      <c r="D53" s="8">
        <f t="shared" si="0"/>
        <v>-11.350000000000023</v>
      </c>
      <c r="E53" s="8">
        <f t="shared" si="1"/>
        <v>-1.1738545868238726</v>
      </c>
      <c r="G53" s="16">
        <v>44997</v>
      </c>
      <c r="H53" s="14">
        <v>2787.5</v>
      </c>
      <c r="I53" s="8">
        <v>-62.9</v>
      </c>
      <c r="J53" s="8">
        <v>-2.20670783</v>
      </c>
      <c r="L53" s="13">
        <v>44997</v>
      </c>
      <c r="M53" s="8">
        <v>1297.55</v>
      </c>
      <c r="N53" s="8">
        <f t="shared" si="2"/>
        <v>-27.200000000000045</v>
      </c>
      <c r="O53" s="8">
        <f t="shared" si="3"/>
        <v>-2.0532175882241965</v>
      </c>
      <c r="Q53" s="13">
        <v>44997</v>
      </c>
      <c r="R53" s="8">
        <v>20554.650000000001</v>
      </c>
      <c r="S53" s="8">
        <f t="shared" si="4"/>
        <v>392.70000000000073</v>
      </c>
      <c r="T53" s="8">
        <f t="shared" si="5"/>
        <v>1.9477282703309984</v>
      </c>
      <c r="V53" s="13">
        <v>44997</v>
      </c>
      <c r="W53" s="8">
        <v>881.2</v>
      </c>
      <c r="X53" s="8">
        <f t="shared" si="6"/>
        <v>2.5500000000000682</v>
      </c>
      <c r="Y53" s="8">
        <f t="shared" si="7"/>
        <v>0.29021794798839906</v>
      </c>
      <c r="AA53" s="13">
        <v>44997</v>
      </c>
      <c r="AB53" s="8">
        <v>4395.55</v>
      </c>
      <c r="AC53" s="8">
        <f t="shared" si="8"/>
        <v>-42.399999999999636</v>
      </c>
      <c r="AD53" s="8">
        <f t="shared" si="9"/>
        <v>-0.95539607251094849</v>
      </c>
      <c r="AF53" s="13">
        <v>44997</v>
      </c>
      <c r="AG53" s="8">
        <v>1830.55</v>
      </c>
      <c r="AH53" s="8">
        <f t="shared" si="10"/>
        <v>-128.20000000000005</v>
      </c>
      <c r="AI53" s="8">
        <f t="shared" si="11"/>
        <v>-6.5449904275686039</v>
      </c>
      <c r="AK53" s="13">
        <v>44997</v>
      </c>
      <c r="AL53" s="8">
        <v>223.75</v>
      </c>
      <c r="AM53" s="8">
        <f t="shared" si="12"/>
        <v>-1.8000000000000114</v>
      </c>
      <c r="AN53" s="8">
        <f t="shared" si="13"/>
        <v>-0.7980492130348088</v>
      </c>
    </row>
    <row r="54" spans="2:40" x14ac:dyDescent="0.35">
      <c r="B54" s="13">
        <v>44990</v>
      </c>
      <c r="C54" s="8">
        <v>966.9</v>
      </c>
      <c r="D54" s="8">
        <f t="shared" si="0"/>
        <v>-3.6000000000000227</v>
      </c>
      <c r="E54" s="8">
        <f t="shared" si="1"/>
        <v>-0.3709428129830008</v>
      </c>
      <c r="G54" s="16">
        <v>44990</v>
      </c>
      <c r="H54" s="14">
        <v>2850.4</v>
      </c>
      <c r="I54" s="8">
        <v>-64.8</v>
      </c>
      <c r="J54" s="8">
        <v>-2.2228320529999999</v>
      </c>
      <c r="L54" s="13">
        <v>44990</v>
      </c>
      <c r="M54" s="8">
        <v>1324.75</v>
      </c>
      <c r="N54" s="8">
        <f t="shared" si="2"/>
        <v>12.349999999999909</v>
      </c>
      <c r="O54" s="8">
        <f t="shared" si="3"/>
        <v>0.94102407802498533</v>
      </c>
      <c r="Q54" s="13">
        <v>44990</v>
      </c>
      <c r="R54" s="8">
        <v>20161.95</v>
      </c>
      <c r="S54" s="8">
        <f t="shared" si="4"/>
        <v>7.3500000000021828</v>
      </c>
      <c r="T54" s="8">
        <f t="shared" si="5"/>
        <v>3.6468101574837423E-2</v>
      </c>
      <c r="V54" s="13">
        <v>44990</v>
      </c>
      <c r="W54" s="8">
        <v>878.65</v>
      </c>
      <c r="X54" s="8">
        <f t="shared" si="6"/>
        <v>-83.149999999999977</v>
      </c>
      <c r="Y54" s="8">
        <f t="shared" si="7"/>
        <v>-8.6452484924100634</v>
      </c>
      <c r="AA54" s="13">
        <v>44990</v>
      </c>
      <c r="AB54" s="8">
        <v>4437.95</v>
      </c>
      <c r="AC54" s="8">
        <f t="shared" si="8"/>
        <v>-53.150000000000546</v>
      </c>
      <c r="AD54" s="8">
        <f t="shared" si="9"/>
        <v>-1.1834517156153401</v>
      </c>
      <c r="AF54" s="13">
        <v>44990</v>
      </c>
      <c r="AG54" s="8">
        <v>1958.75</v>
      </c>
      <c r="AH54" s="8">
        <f t="shared" si="10"/>
        <v>18.849999999999909</v>
      </c>
      <c r="AI54" s="8">
        <f t="shared" si="11"/>
        <v>0.97169957214288927</v>
      </c>
      <c r="AK54" s="13">
        <v>44990</v>
      </c>
      <c r="AL54" s="8">
        <v>225.55</v>
      </c>
      <c r="AM54" s="8">
        <f t="shared" si="12"/>
        <v>-0.75</v>
      </c>
      <c r="AN54" s="8">
        <f t="shared" si="13"/>
        <v>-0.33141847105612016</v>
      </c>
    </row>
    <row r="55" spans="2:40" x14ac:dyDescent="0.35">
      <c r="B55" s="13">
        <v>44983</v>
      </c>
      <c r="C55" s="8">
        <v>970.5</v>
      </c>
      <c r="D55" s="8">
        <f t="shared" si="0"/>
        <v>-14</v>
      </c>
      <c r="E55" s="8">
        <f t="shared" si="1"/>
        <v>-1.4220416455053326</v>
      </c>
      <c r="G55" s="16">
        <v>44983</v>
      </c>
      <c r="H55" s="14">
        <v>2915.2</v>
      </c>
      <c r="I55" s="8">
        <v>85.4</v>
      </c>
      <c r="J55" s="8">
        <v>3.0178811219999999</v>
      </c>
      <c r="L55" s="13">
        <v>44983</v>
      </c>
      <c r="M55" s="8">
        <v>1312.4</v>
      </c>
      <c r="N55" s="8">
        <f t="shared" si="2"/>
        <v>70.300000000000182</v>
      </c>
      <c r="O55" s="8">
        <f t="shared" si="3"/>
        <v>5.6597697447870692</v>
      </c>
      <c r="Q55" s="13">
        <v>44983</v>
      </c>
      <c r="R55" s="8">
        <v>20154.599999999999</v>
      </c>
      <c r="S55" s="8">
        <f t="shared" si="4"/>
        <v>-61.600000000002183</v>
      </c>
      <c r="T55" s="8">
        <f t="shared" si="5"/>
        <v>-0.30470612676963121</v>
      </c>
      <c r="V55" s="13">
        <v>44983</v>
      </c>
      <c r="W55" s="8">
        <v>961.8</v>
      </c>
      <c r="X55" s="8">
        <f t="shared" si="6"/>
        <v>-63.950000000000045</v>
      </c>
      <c r="Y55" s="8">
        <f t="shared" si="7"/>
        <v>-6.2344625883499925</v>
      </c>
      <c r="AA55" s="13">
        <v>44983</v>
      </c>
      <c r="AB55" s="8">
        <v>4491.1000000000004</v>
      </c>
      <c r="AC55" s="8">
        <f t="shared" si="8"/>
        <v>-19.25</v>
      </c>
      <c r="AD55" s="8">
        <f t="shared" si="9"/>
        <v>-0.42679614664050458</v>
      </c>
      <c r="AF55" s="13">
        <v>44983</v>
      </c>
      <c r="AG55" s="8">
        <v>1939.9</v>
      </c>
      <c r="AH55" s="8">
        <f t="shared" si="10"/>
        <v>-27.399999999999864</v>
      </c>
      <c r="AI55" s="8">
        <f t="shared" si="11"/>
        <v>-1.3927718192446432</v>
      </c>
      <c r="AK55" s="13">
        <v>44983</v>
      </c>
      <c r="AL55" s="8">
        <v>226.3</v>
      </c>
      <c r="AM55" s="8">
        <f t="shared" si="12"/>
        <v>-6.1999999999999886</v>
      </c>
      <c r="AN55" s="8">
        <f t="shared" si="13"/>
        <v>-2.6666666666666616</v>
      </c>
    </row>
    <row r="56" spans="2:40" x14ac:dyDescent="0.35">
      <c r="B56" s="13">
        <v>44976</v>
      </c>
      <c r="C56" s="8">
        <v>984.5</v>
      </c>
      <c r="D56" s="8">
        <f t="shared" si="0"/>
        <v>-22.100000000000023</v>
      </c>
      <c r="E56" s="8">
        <f t="shared" si="1"/>
        <v>-2.1955096363997639</v>
      </c>
      <c r="G56" s="16">
        <v>44976</v>
      </c>
      <c r="H56" s="14">
        <v>2829.8</v>
      </c>
      <c r="I56" s="8">
        <v>18.55</v>
      </c>
      <c r="J56" s="8">
        <v>0.65984882170000003</v>
      </c>
      <c r="L56" s="13">
        <v>44976</v>
      </c>
      <c r="M56" s="8">
        <v>1242.0999999999999</v>
      </c>
      <c r="N56" s="8">
        <f t="shared" si="2"/>
        <v>-10.5</v>
      </c>
      <c r="O56" s="8">
        <f t="shared" si="3"/>
        <v>-0.83825642663260425</v>
      </c>
      <c r="Q56" s="13">
        <v>44976</v>
      </c>
      <c r="R56" s="8">
        <v>20216.2</v>
      </c>
      <c r="S56" s="8">
        <f t="shared" si="4"/>
        <v>-524.89999999999782</v>
      </c>
      <c r="T56" s="8">
        <f t="shared" si="5"/>
        <v>-2.5307240213874764</v>
      </c>
      <c r="V56" s="13">
        <v>44976</v>
      </c>
      <c r="W56" s="8">
        <v>1025.75</v>
      </c>
      <c r="X56" s="8">
        <f t="shared" si="6"/>
        <v>-7.4500000000000455</v>
      </c>
      <c r="Y56" s="8">
        <f t="shared" si="7"/>
        <v>-0.72106078203639612</v>
      </c>
      <c r="AA56" s="13">
        <v>44976</v>
      </c>
      <c r="AB56" s="8">
        <v>4510.3500000000004</v>
      </c>
      <c r="AC56" s="8">
        <f t="shared" si="8"/>
        <v>10.75</v>
      </c>
      <c r="AD56" s="8">
        <f t="shared" si="9"/>
        <v>0.23891012534447503</v>
      </c>
      <c r="AF56" s="13">
        <v>44976</v>
      </c>
      <c r="AG56" s="8">
        <v>1967.3</v>
      </c>
      <c r="AH56" s="8">
        <f t="shared" si="10"/>
        <v>0.89999999999986358</v>
      </c>
      <c r="AI56" s="8">
        <f t="shared" si="11"/>
        <v>4.57689178193584E-2</v>
      </c>
      <c r="AK56" s="13">
        <v>44976</v>
      </c>
      <c r="AL56" s="8">
        <v>232.5</v>
      </c>
      <c r="AM56" s="8">
        <f t="shared" si="12"/>
        <v>-9.8499999999999943</v>
      </c>
      <c r="AN56" s="8">
        <f t="shared" si="13"/>
        <v>-4.0643697132246732</v>
      </c>
    </row>
    <row r="57" spans="2:40" x14ac:dyDescent="0.35">
      <c r="B57" s="13">
        <v>44969</v>
      </c>
      <c r="C57" s="8">
        <v>1006.6</v>
      </c>
      <c r="D57" s="8">
        <f t="shared" si="0"/>
        <v>-21.550000000000068</v>
      </c>
      <c r="E57" s="8">
        <f t="shared" si="1"/>
        <v>-2.0959976657102626</v>
      </c>
      <c r="G57" s="16">
        <v>44969</v>
      </c>
      <c r="H57" s="14">
        <v>2811.25</v>
      </c>
      <c r="I57" s="8">
        <v>-73.099999999999994</v>
      </c>
      <c r="J57" s="8">
        <v>-2.534366495</v>
      </c>
      <c r="L57" s="13">
        <v>44969</v>
      </c>
      <c r="M57" s="8">
        <v>1252.5999999999999</v>
      </c>
      <c r="N57" s="8">
        <f t="shared" si="2"/>
        <v>7.5</v>
      </c>
      <c r="O57" s="8">
        <f t="shared" si="3"/>
        <v>0.60236125612400615</v>
      </c>
      <c r="Q57" s="13">
        <v>44969</v>
      </c>
      <c r="R57" s="8">
        <v>20741.099999999999</v>
      </c>
      <c r="S57" s="8">
        <f t="shared" si="4"/>
        <v>-131.15000000000146</v>
      </c>
      <c r="T57" s="8">
        <f t="shared" si="5"/>
        <v>-0.62834624920648929</v>
      </c>
      <c r="V57" s="13">
        <v>44969</v>
      </c>
      <c r="W57" s="8">
        <v>1033.2</v>
      </c>
      <c r="X57" s="8">
        <f t="shared" si="6"/>
        <v>10.900000000000091</v>
      </c>
      <c r="Y57" s="8">
        <f t="shared" si="7"/>
        <v>1.0662232221461501</v>
      </c>
      <c r="AA57" s="13">
        <v>44969</v>
      </c>
      <c r="AB57" s="8">
        <v>4499.6000000000004</v>
      </c>
      <c r="AC57" s="8">
        <f t="shared" si="8"/>
        <v>141.25</v>
      </c>
      <c r="AD57" s="8">
        <f t="shared" si="9"/>
        <v>3.2409053885071182</v>
      </c>
      <c r="AF57" s="13">
        <v>44969</v>
      </c>
      <c r="AG57" s="8">
        <v>1966.4</v>
      </c>
      <c r="AH57" s="8">
        <f t="shared" si="10"/>
        <v>81.300000000000182</v>
      </c>
      <c r="AI57" s="8">
        <f t="shared" si="11"/>
        <v>4.3127685533924032</v>
      </c>
      <c r="AK57" s="13">
        <v>44969</v>
      </c>
      <c r="AL57" s="8">
        <v>242.35</v>
      </c>
      <c r="AM57" s="8">
        <f t="shared" si="12"/>
        <v>9.0999999999999943</v>
      </c>
      <c r="AN57" s="8">
        <f t="shared" si="13"/>
        <v>3.9013933547695583</v>
      </c>
    </row>
    <row r="58" spans="2:40" x14ac:dyDescent="0.35">
      <c r="B58" s="13">
        <v>44962</v>
      </c>
      <c r="C58" s="8">
        <v>1028.1500000000001</v>
      </c>
      <c r="D58" s="8">
        <f t="shared" si="0"/>
        <v>-15.25</v>
      </c>
      <c r="E58" s="8">
        <f t="shared" si="1"/>
        <v>-1.4615679509296529</v>
      </c>
      <c r="G58" s="16">
        <v>44962</v>
      </c>
      <c r="H58" s="14">
        <v>2884.35</v>
      </c>
      <c r="I58" s="8">
        <v>-503.1</v>
      </c>
      <c r="J58" s="8">
        <v>-14.85187973</v>
      </c>
      <c r="L58" s="13">
        <v>44962</v>
      </c>
      <c r="M58" s="8">
        <v>1245.0999999999999</v>
      </c>
      <c r="N58" s="8">
        <f t="shared" si="2"/>
        <v>-17.900000000000091</v>
      </c>
      <c r="O58" s="8">
        <f t="shared" si="3"/>
        <v>-1.4172604908947024</v>
      </c>
      <c r="Q58" s="13">
        <v>44962</v>
      </c>
      <c r="R58" s="8">
        <v>20872.25</v>
      </c>
      <c r="S58" s="8">
        <f t="shared" si="4"/>
        <v>-339.90000000000146</v>
      </c>
      <c r="T58" s="8">
        <f t="shared" si="5"/>
        <v>-1.6023835396223458</v>
      </c>
      <c r="V58" s="13">
        <v>44962</v>
      </c>
      <c r="W58" s="8">
        <v>1022.3</v>
      </c>
      <c r="X58" s="8">
        <f t="shared" si="6"/>
        <v>-24.950000000000045</v>
      </c>
      <c r="Y58" s="8">
        <f t="shared" si="7"/>
        <v>-2.3824301742659388</v>
      </c>
      <c r="AA58" s="13">
        <v>44962</v>
      </c>
      <c r="AB58" s="8">
        <v>4358.3500000000004</v>
      </c>
      <c r="AC58" s="8">
        <f t="shared" si="8"/>
        <v>44.350000000000364</v>
      </c>
      <c r="AD58" s="8">
        <f t="shared" si="9"/>
        <v>1.0280482151135921</v>
      </c>
      <c r="AF58" s="13">
        <v>44962</v>
      </c>
      <c r="AG58" s="8">
        <v>1885.1</v>
      </c>
      <c r="AH58" s="8">
        <f t="shared" si="10"/>
        <v>-165.34999999999991</v>
      </c>
      <c r="AI58" s="8">
        <f t="shared" si="11"/>
        <v>-8.0640834938671979</v>
      </c>
      <c r="AK58" s="13">
        <v>44962</v>
      </c>
      <c r="AL58" s="8">
        <v>233.25</v>
      </c>
      <c r="AM58" s="8">
        <f t="shared" si="12"/>
        <v>-2.25</v>
      </c>
      <c r="AN58" s="8">
        <f t="shared" si="13"/>
        <v>-0.95541401273885351</v>
      </c>
    </row>
    <row r="59" spans="2:40" x14ac:dyDescent="0.35">
      <c r="B59" s="13">
        <v>44955</v>
      </c>
      <c r="C59" s="8">
        <v>1043.4000000000001</v>
      </c>
      <c r="D59" s="8">
        <f t="shared" si="0"/>
        <v>13.050000000000182</v>
      </c>
      <c r="E59" s="8">
        <f t="shared" si="1"/>
        <v>1.2665599068277948</v>
      </c>
      <c r="G59" s="16">
        <v>44955</v>
      </c>
      <c r="H59" s="14">
        <v>3387.45</v>
      </c>
      <c r="I59" s="8">
        <v>44.3</v>
      </c>
      <c r="J59" s="8">
        <v>1.325097588</v>
      </c>
      <c r="L59" s="13">
        <v>44955</v>
      </c>
      <c r="M59" s="8">
        <v>1263</v>
      </c>
      <c r="N59" s="8">
        <f t="shared" si="2"/>
        <v>-26.200000000000045</v>
      </c>
      <c r="O59" s="8">
        <f t="shared" si="3"/>
        <v>-2.0322680732237082</v>
      </c>
      <c r="Q59" s="13">
        <v>44955</v>
      </c>
      <c r="R59" s="8">
        <v>21212.15</v>
      </c>
      <c r="S59" s="8">
        <f t="shared" si="4"/>
        <v>-585.19999999999709</v>
      </c>
      <c r="T59" s="8">
        <f t="shared" si="5"/>
        <v>-2.6847300245213161</v>
      </c>
      <c r="V59" s="13">
        <v>44955</v>
      </c>
      <c r="W59" s="8">
        <v>1047.25</v>
      </c>
      <c r="X59" s="8">
        <f t="shared" si="6"/>
        <v>-6.2000000000000455</v>
      </c>
      <c r="Y59" s="8">
        <f t="shared" si="7"/>
        <v>-0.58854240827756854</v>
      </c>
      <c r="AA59" s="13">
        <v>44955</v>
      </c>
      <c r="AB59" s="8">
        <v>4314</v>
      </c>
      <c r="AC59" s="8">
        <f t="shared" si="8"/>
        <v>-36.600000000000364</v>
      </c>
      <c r="AD59" s="8">
        <f t="shared" si="9"/>
        <v>-0.8412632740311764</v>
      </c>
      <c r="AF59" s="13">
        <v>44955</v>
      </c>
      <c r="AG59" s="8">
        <v>2050.4499999999998</v>
      </c>
      <c r="AH59" s="8">
        <f t="shared" si="10"/>
        <v>-55.450000000000273</v>
      </c>
      <c r="AI59" s="8">
        <f t="shared" si="11"/>
        <v>-2.6330784937556517</v>
      </c>
      <c r="AK59" s="13">
        <v>44955</v>
      </c>
      <c r="AL59" s="8">
        <v>235.5</v>
      </c>
      <c r="AM59" s="8">
        <f t="shared" si="12"/>
        <v>-9.4499999999999886</v>
      </c>
      <c r="AN59" s="8">
        <f t="shared" si="13"/>
        <v>-3.8579301898346556</v>
      </c>
    </row>
    <row r="60" spans="2:40" x14ac:dyDescent="0.35">
      <c r="B60" s="13">
        <v>44948</v>
      </c>
      <c r="C60" s="8">
        <v>1030.3499999999999</v>
      </c>
      <c r="D60" s="8">
        <f t="shared" si="0"/>
        <v>-1.25</v>
      </c>
      <c r="E60" s="8">
        <f t="shared" si="1"/>
        <v>-0.12117099651027531</v>
      </c>
      <c r="G60" s="16">
        <v>44948</v>
      </c>
      <c r="H60" s="14">
        <v>3343.15</v>
      </c>
      <c r="I60" s="8">
        <v>-8.5500000000000007</v>
      </c>
      <c r="J60" s="8">
        <v>-0.25509442970000001</v>
      </c>
      <c r="L60" s="13">
        <v>44948</v>
      </c>
      <c r="M60" s="8">
        <v>1289.2</v>
      </c>
      <c r="N60" s="8">
        <f t="shared" si="2"/>
        <v>-15.5</v>
      </c>
      <c r="O60" s="8">
        <f t="shared" si="3"/>
        <v>-1.1880125699394497</v>
      </c>
      <c r="Q60" s="13">
        <v>44948</v>
      </c>
      <c r="R60" s="8">
        <v>21797.35</v>
      </c>
      <c r="S60" s="8">
        <f t="shared" si="4"/>
        <v>-484.85000000000218</v>
      </c>
      <c r="T60" s="8">
        <f t="shared" si="5"/>
        <v>-2.1759521052678918</v>
      </c>
      <c r="V60" s="13">
        <v>44948</v>
      </c>
      <c r="W60" s="8">
        <v>1053.45</v>
      </c>
      <c r="X60" s="8">
        <f t="shared" si="6"/>
        <v>-14.299999999999955</v>
      </c>
      <c r="Y60" s="8">
        <f t="shared" si="7"/>
        <v>-1.3392648091781743</v>
      </c>
      <c r="AA60" s="13">
        <v>44948</v>
      </c>
      <c r="AB60" s="8">
        <v>4350.6000000000004</v>
      </c>
      <c r="AC60" s="8">
        <f t="shared" si="8"/>
        <v>30.200000000000728</v>
      </c>
      <c r="AD60" s="8">
        <f t="shared" si="9"/>
        <v>0.69900935098603667</v>
      </c>
      <c r="AF60" s="13">
        <v>44948</v>
      </c>
      <c r="AG60" s="8">
        <v>2105.9</v>
      </c>
      <c r="AH60" s="8">
        <f t="shared" si="10"/>
        <v>-66.349999999999909</v>
      </c>
      <c r="AI60" s="8">
        <f t="shared" si="11"/>
        <v>-3.0544366440326809</v>
      </c>
      <c r="AK60" s="13">
        <v>44948</v>
      </c>
      <c r="AL60" s="8">
        <v>244.95</v>
      </c>
      <c r="AM60" s="8">
        <f t="shared" si="12"/>
        <v>-7.1000000000000227</v>
      </c>
      <c r="AN60" s="8">
        <f t="shared" si="13"/>
        <v>-2.8169014084507129</v>
      </c>
    </row>
    <row r="61" spans="2:40" x14ac:dyDescent="0.35">
      <c r="B61" s="13">
        <v>44941</v>
      </c>
      <c r="C61" s="8">
        <v>1031.5999999999999</v>
      </c>
      <c r="D61" s="8">
        <f t="shared" si="0"/>
        <v>22.899999999999864</v>
      </c>
      <c r="E61" s="8">
        <f t="shared" si="1"/>
        <v>2.2702488351343177</v>
      </c>
      <c r="G61" s="16">
        <v>44941</v>
      </c>
      <c r="H61" s="14">
        <v>3351.7</v>
      </c>
      <c r="I61" s="8">
        <v>-83.2</v>
      </c>
      <c r="J61" s="8">
        <v>-2.4221956969999998</v>
      </c>
      <c r="L61" s="13">
        <v>44941</v>
      </c>
      <c r="M61" s="8">
        <v>1304.7</v>
      </c>
      <c r="N61" s="8">
        <f t="shared" si="2"/>
        <v>3.8500000000001364</v>
      </c>
      <c r="O61" s="8">
        <f t="shared" si="3"/>
        <v>0.29596033362802299</v>
      </c>
      <c r="Q61" s="13">
        <v>44941</v>
      </c>
      <c r="R61" s="8">
        <v>22282.2</v>
      </c>
      <c r="S61" s="8">
        <f t="shared" si="4"/>
        <v>-45.849999999998545</v>
      </c>
      <c r="T61" s="8">
        <f t="shared" si="5"/>
        <v>-0.20534708584044978</v>
      </c>
      <c r="V61" s="13">
        <v>44941</v>
      </c>
      <c r="W61" s="8">
        <v>1067.75</v>
      </c>
      <c r="X61" s="8">
        <f t="shared" si="6"/>
        <v>-8.5999999999999091</v>
      </c>
      <c r="Y61" s="8">
        <f t="shared" si="7"/>
        <v>-0.7989966089097329</v>
      </c>
      <c r="AA61" s="13">
        <v>44941</v>
      </c>
      <c r="AB61" s="8">
        <v>4320.3999999999996</v>
      </c>
      <c r="AC61" s="8">
        <f t="shared" si="8"/>
        <v>48.649999999999636</v>
      </c>
      <c r="AD61" s="8">
        <f t="shared" si="9"/>
        <v>1.1388775092175252</v>
      </c>
      <c r="AF61" s="13">
        <v>44941</v>
      </c>
      <c r="AG61" s="8">
        <v>2172.25</v>
      </c>
      <c r="AH61" s="8">
        <f t="shared" si="10"/>
        <v>-52.75</v>
      </c>
      <c r="AI61" s="8">
        <f t="shared" si="11"/>
        <v>-2.3707865168539324</v>
      </c>
      <c r="AK61" s="13">
        <v>44941</v>
      </c>
      <c r="AL61" s="8">
        <v>252.05</v>
      </c>
      <c r="AM61" s="8">
        <f t="shared" si="12"/>
        <v>-4.3000000000000114</v>
      </c>
      <c r="AN61" s="8">
        <f t="shared" si="13"/>
        <v>-1.6773941876340983</v>
      </c>
    </row>
    <row r="62" spans="2:40" x14ac:dyDescent="0.35">
      <c r="B62" s="13">
        <v>44934</v>
      </c>
      <c r="C62" s="8">
        <v>1008.7</v>
      </c>
      <c r="D62" s="8">
        <f t="shared" si="0"/>
        <v>7.3000000000000682</v>
      </c>
      <c r="E62" s="8">
        <f t="shared" si="1"/>
        <v>0.72897942879968725</v>
      </c>
      <c r="G62" s="16">
        <v>44934</v>
      </c>
      <c r="H62" s="14">
        <v>3434.9</v>
      </c>
      <c r="I62" s="8">
        <v>21.7</v>
      </c>
      <c r="J62" s="8">
        <v>0.63576702210000002</v>
      </c>
      <c r="L62" s="13">
        <v>44934</v>
      </c>
      <c r="M62" s="8">
        <v>1300.8499999999999</v>
      </c>
      <c r="N62" s="8">
        <f t="shared" si="2"/>
        <v>-17.900000000000091</v>
      </c>
      <c r="O62" s="8">
        <f t="shared" si="3"/>
        <v>-1.357345971563988</v>
      </c>
      <c r="Q62" s="13">
        <v>44934</v>
      </c>
      <c r="R62" s="8">
        <v>22328.05</v>
      </c>
      <c r="S62" s="8">
        <f t="shared" si="4"/>
        <v>960.84999999999854</v>
      </c>
      <c r="T62" s="8">
        <f t="shared" si="5"/>
        <v>4.4968456325583066</v>
      </c>
      <c r="V62" s="13">
        <v>44934</v>
      </c>
      <c r="W62" s="8">
        <v>1076.3499999999999</v>
      </c>
      <c r="X62" s="8">
        <f t="shared" si="6"/>
        <v>0.39999999999986358</v>
      </c>
      <c r="Y62" s="8">
        <f t="shared" si="7"/>
        <v>3.7176448719723365E-2</v>
      </c>
      <c r="AA62" s="13">
        <v>44934</v>
      </c>
      <c r="AB62" s="8">
        <v>4271.75</v>
      </c>
      <c r="AC62" s="8">
        <f t="shared" si="8"/>
        <v>34.199999999999818</v>
      </c>
      <c r="AD62" s="8">
        <f t="shared" si="9"/>
        <v>0.80707012306639014</v>
      </c>
      <c r="AF62" s="13">
        <v>44934</v>
      </c>
      <c r="AG62" s="8">
        <v>2225</v>
      </c>
      <c r="AH62" s="8">
        <f t="shared" si="10"/>
        <v>-35.449999999999818</v>
      </c>
      <c r="AI62" s="8">
        <f t="shared" si="11"/>
        <v>-1.5682718042867492</v>
      </c>
      <c r="AK62" s="13">
        <v>44934</v>
      </c>
      <c r="AL62" s="8">
        <v>256.35000000000002</v>
      </c>
      <c r="AM62" s="8">
        <f t="shared" si="12"/>
        <v>-5.5</v>
      </c>
      <c r="AN62" s="8">
        <f t="shared" si="13"/>
        <v>-2.1004391827382087</v>
      </c>
    </row>
    <row r="63" spans="2:40" x14ac:dyDescent="0.35">
      <c r="B63" s="13">
        <v>44927</v>
      </c>
      <c r="C63" s="8">
        <v>1001.4</v>
      </c>
      <c r="D63" s="8">
        <f t="shared" si="0"/>
        <v>-0.14999999999997726</v>
      </c>
      <c r="E63" s="8">
        <f t="shared" si="1"/>
        <v>-1.4976785981726052E-2</v>
      </c>
      <c r="G63" s="16">
        <v>44927</v>
      </c>
      <c r="H63" s="14">
        <v>3413.2</v>
      </c>
      <c r="I63" s="8">
        <v>-85.25</v>
      </c>
      <c r="J63" s="8">
        <v>-2.436793437</v>
      </c>
      <c r="L63" s="13">
        <v>44927</v>
      </c>
      <c r="M63" s="8">
        <v>1318.75</v>
      </c>
      <c r="N63" s="8">
        <f t="shared" si="2"/>
        <v>-21.450000000000045</v>
      </c>
      <c r="O63" s="8">
        <f t="shared" si="3"/>
        <v>-1.600507386957174</v>
      </c>
      <c r="Q63" s="13">
        <v>44927</v>
      </c>
      <c r="R63" s="8">
        <v>21367.200000000001</v>
      </c>
      <c r="S63" s="8">
        <f t="shared" si="4"/>
        <v>-430.04999999999927</v>
      </c>
      <c r="T63" s="8">
        <f t="shared" si="5"/>
        <v>-1.9729553039947667</v>
      </c>
      <c r="V63" s="13">
        <v>44927</v>
      </c>
      <c r="W63" s="8">
        <v>1075.95</v>
      </c>
      <c r="X63" s="8">
        <f t="shared" si="6"/>
        <v>-43.200000000000045</v>
      </c>
      <c r="Y63" s="8">
        <f t="shared" si="7"/>
        <v>-3.8600723763570604</v>
      </c>
      <c r="AA63" s="13">
        <v>44927</v>
      </c>
      <c r="AB63" s="8">
        <v>4237.55</v>
      </c>
      <c r="AC63" s="8">
        <f t="shared" si="8"/>
        <v>-72.899999999999636</v>
      </c>
      <c r="AD63" s="8">
        <f t="shared" si="9"/>
        <v>-1.6912387337748875</v>
      </c>
      <c r="AF63" s="13">
        <v>44927</v>
      </c>
      <c r="AG63" s="8">
        <v>2260.4499999999998</v>
      </c>
      <c r="AH63" s="8">
        <f t="shared" si="10"/>
        <v>-85.350000000000364</v>
      </c>
      <c r="AI63" s="8">
        <f t="shared" si="11"/>
        <v>-3.6384175974081487</v>
      </c>
      <c r="AK63" s="13">
        <v>44927</v>
      </c>
      <c r="AL63" s="8">
        <v>261.85000000000002</v>
      </c>
      <c r="AM63" s="8">
        <f t="shared" si="12"/>
        <v>-5.1999999999999886</v>
      </c>
      <c r="AN63" s="8">
        <f t="shared" si="13"/>
        <v>-1.9472008987081026</v>
      </c>
    </row>
    <row r="64" spans="2:40" x14ac:dyDescent="0.35">
      <c r="B64" s="13">
        <v>44920</v>
      </c>
      <c r="C64" s="8">
        <v>1001.55</v>
      </c>
      <c r="D64" s="8">
        <f t="shared" si="0"/>
        <v>7.8999999999999773</v>
      </c>
      <c r="E64" s="8">
        <f t="shared" si="1"/>
        <v>0.7950485583454916</v>
      </c>
      <c r="G64" s="16">
        <v>44920</v>
      </c>
      <c r="H64" s="14">
        <v>3498.45</v>
      </c>
      <c r="I64" s="8">
        <v>171.55</v>
      </c>
      <c r="J64" s="8">
        <v>5.1564519520000003</v>
      </c>
      <c r="L64" s="13">
        <v>44920</v>
      </c>
      <c r="M64" s="8">
        <v>1340.2</v>
      </c>
      <c r="N64" s="8">
        <f t="shared" si="2"/>
        <v>-4.2000000000000455</v>
      </c>
      <c r="O64" s="8">
        <f t="shared" si="3"/>
        <v>-0.31240702171972962</v>
      </c>
      <c r="Q64" s="13">
        <v>44920</v>
      </c>
      <c r="R64" s="8">
        <v>21797.25</v>
      </c>
      <c r="S64" s="8">
        <f t="shared" si="4"/>
        <v>1124.4500000000007</v>
      </c>
      <c r="T64" s="8">
        <f t="shared" si="5"/>
        <v>5.4392728609573968</v>
      </c>
      <c r="V64" s="13">
        <v>44920</v>
      </c>
      <c r="W64" s="8">
        <v>1119.1500000000001</v>
      </c>
      <c r="X64" s="8">
        <f t="shared" si="6"/>
        <v>29.75</v>
      </c>
      <c r="Y64" s="8">
        <f t="shared" si="7"/>
        <v>2.7308610244171101</v>
      </c>
      <c r="AA64" s="13">
        <v>44920</v>
      </c>
      <c r="AB64" s="8">
        <v>4310.45</v>
      </c>
      <c r="AC64" s="8">
        <f t="shared" si="8"/>
        <v>1.3499999999994543</v>
      </c>
      <c r="AD64" s="8">
        <f t="shared" si="9"/>
        <v>3.1329047829000353E-2</v>
      </c>
      <c r="AF64" s="13">
        <v>44920</v>
      </c>
      <c r="AG64" s="8">
        <v>2345.8000000000002</v>
      </c>
      <c r="AH64" s="8">
        <f t="shared" si="10"/>
        <v>56.950000000000273</v>
      </c>
      <c r="AI64" s="8">
        <f t="shared" si="11"/>
        <v>2.488149070493928</v>
      </c>
      <c r="AK64" s="13">
        <v>44920</v>
      </c>
      <c r="AL64" s="8">
        <v>267.05</v>
      </c>
      <c r="AM64" s="8">
        <f t="shared" si="12"/>
        <v>0.94999999999998863</v>
      </c>
      <c r="AN64" s="8">
        <f t="shared" si="13"/>
        <v>0.35700864336715088</v>
      </c>
    </row>
    <row r="65" spans="2:40" x14ac:dyDescent="0.35">
      <c r="B65" s="13">
        <v>44913</v>
      </c>
      <c r="C65" s="8">
        <v>993.65</v>
      </c>
      <c r="D65" s="8">
        <f t="shared" si="0"/>
        <v>0.79999999999995453</v>
      </c>
      <c r="E65" s="8">
        <f t="shared" si="1"/>
        <v>8.0576119252651915E-2</v>
      </c>
      <c r="G65" s="16">
        <v>44913</v>
      </c>
      <c r="H65" s="14">
        <v>3326.9</v>
      </c>
      <c r="I65" s="8">
        <v>52.85</v>
      </c>
      <c r="J65" s="8">
        <v>1.614208702</v>
      </c>
      <c r="L65" s="13">
        <v>44913</v>
      </c>
      <c r="M65" s="8">
        <v>1344.4</v>
      </c>
      <c r="N65" s="8">
        <f t="shared" si="2"/>
        <v>12.700000000000045</v>
      </c>
      <c r="O65" s="8">
        <f t="shared" si="3"/>
        <v>0.9536682435984114</v>
      </c>
      <c r="Q65" s="13">
        <v>44913</v>
      </c>
      <c r="R65" s="8">
        <v>20672.8</v>
      </c>
      <c r="S65" s="8">
        <f t="shared" si="4"/>
        <v>236.64999999999782</v>
      </c>
      <c r="T65" s="8">
        <f t="shared" si="5"/>
        <v>1.1579969808403139</v>
      </c>
      <c r="V65" s="13">
        <v>44913</v>
      </c>
      <c r="W65" s="8">
        <v>1089.4000000000001</v>
      </c>
      <c r="X65" s="8">
        <f t="shared" si="6"/>
        <v>-18.5</v>
      </c>
      <c r="Y65" s="8">
        <f t="shared" si="7"/>
        <v>-1.6698257965520353</v>
      </c>
      <c r="AA65" s="13">
        <v>44913</v>
      </c>
      <c r="AB65" s="8">
        <v>4309.1000000000004</v>
      </c>
      <c r="AC65" s="8">
        <f t="shared" si="8"/>
        <v>-98</v>
      </c>
      <c r="AD65" s="8">
        <f t="shared" si="9"/>
        <v>-2.2236845090876085</v>
      </c>
      <c r="AF65" s="13">
        <v>44913</v>
      </c>
      <c r="AG65" s="8">
        <v>2288.85</v>
      </c>
      <c r="AH65" s="8">
        <f t="shared" si="10"/>
        <v>-167.25</v>
      </c>
      <c r="AI65" s="8">
        <f t="shared" si="11"/>
        <v>-6.809576157322585</v>
      </c>
      <c r="AK65" s="13">
        <v>44913</v>
      </c>
      <c r="AL65" s="8">
        <v>266.10000000000002</v>
      </c>
      <c r="AM65" s="8">
        <f t="shared" si="12"/>
        <v>-6.1499999999999773</v>
      </c>
      <c r="AN65" s="8">
        <f t="shared" si="13"/>
        <v>-2.2589531680440689</v>
      </c>
    </row>
    <row r="66" spans="2:40" x14ac:dyDescent="0.35">
      <c r="B66" s="13">
        <v>44906</v>
      </c>
      <c r="C66" s="8">
        <v>992.85</v>
      </c>
      <c r="D66" s="8">
        <f t="shared" si="0"/>
        <v>-47.149999999999977</v>
      </c>
      <c r="E66" s="8">
        <f t="shared" si="1"/>
        <v>-4.533653846153844</v>
      </c>
      <c r="G66" s="16">
        <v>44906</v>
      </c>
      <c r="H66" s="14">
        <v>3274.05</v>
      </c>
      <c r="I66" s="8">
        <v>-107.2</v>
      </c>
      <c r="J66" s="8">
        <v>-3.1704251389999998</v>
      </c>
      <c r="L66" s="13">
        <v>44906</v>
      </c>
      <c r="M66" s="8">
        <v>1331.7</v>
      </c>
      <c r="N66" s="8">
        <f t="shared" si="2"/>
        <v>-4.4500000000000455</v>
      </c>
      <c r="O66" s="8">
        <f t="shared" si="3"/>
        <v>-0.33304643939677769</v>
      </c>
      <c r="Q66" s="13">
        <v>44906</v>
      </c>
      <c r="R66" s="8">
        <v>20436.150000000001</v>
      </c>
      <c r="S66" s="8">
        <f t="shared" si="4"/>
        <v>253.25</v>
      </c>
      <c r="T66" s="8">
        <f t="shared" si="5"/>
        <v>1.2547750818762418</v>
      </c>
      <c r="V66" s="13">
        <v>44906</v>
      </c>
      <c r="W66" s="8">
        <v>1107.9000000000001</v>
      </c>
      <c r="X66" s="8">
        <f t="shared" si="6"/>
        <v>-6.4499999999998181</v>
      </c>
      <c r="Y66" s="8">
        <f t="shared" si="7"/>
        <v>-0.57881276080224509</v>
      </c>
      <c r="AA66" s="13">
        <v>44906</v>
      </c>
      <c r="AB66" s="8">
        <v>4407.1000000000004</v>
      </c>
      <c r="AC66" s="8">
        <f t="shared" si="8"/>
        <v>-103.29999999999927</v>
      </c>
      <c r="AD66" s="8">
        <f t="shared" si="9"/>
        <v>-2.2902625044341804</v>
      </c>
      <c r="AF66" s="13">
        <v>44906</v>
      </c>
      <c r="AG66" s="8">
        <v>2456.1</v>
      </c>
      <c r="AH66" s="8">
        <f t="shared" si="10"/>
        <v>-22.050000000000182</v>
      </c>
      <c r="AI66" s="8">
        <f t="shared" si="11"/>
        <v>-0.88977664790267663</v>
      </c>
      <c r="AK66" s="13">
        <v>44906</v>
      </c>
      <c r="AL66" s="8">
        <v>272.25</v>
      </c>
      <c r="AM66" s="8">
        <f t="shared" si="12"/>
        <v>-11.300000000000011</v>
      </c>
      <c r="AN66" s="8">
        <f t="shared" si="13"/>
        <v>-3.9851877975665704</v>
      </c>
    </row>
    <row r="67" spans="2:40" x14ac:dyDescent="0.35">
      <c r="B67" s="13">
        <v>44899</v>
      </c>
      <c r="C67" s="8">
        <v>1040</v>
      </c>
      <c r="D67" s="8">
        <f t="shared" si="0"/>
        <v>6.1500000000000909</v>
      </c>
      <c r="E67" s="8">
        <f t="shared" si="1"/>
        <v>0.59486385839339284</v>
      </c>
      <c r="G67" s="16">
        <v>44899</v>
      </c>
      <c r="H67" s="14">
        <v>3381.25</v>
      </c>
      <c r="I67" s="8">
        <v>38.6</v>
      </c>
      <c r="J67" s="8">
        <v>1.1547724109999999</v>
      </c>
      <c r="L67" s="13">
        <v>44899</v>
      </c>
      <c r="M67" s="8">
        <v>1336.15</v>
      </c>
      <c r="N67" s="8">
        <f t="shared" si="2"/>
        <v>2.4500000000000455</v>
      </c>
      <c r="O67" s="8">
        <f t="shared" si="3"/>
        <v>0.18369948264227678</v>
      </c>
      <c r="Q67" s="13">
        <v>44899</v>
      </c>
      <c r="R67" s="8">
        <v>20182.900000000001</v>
      </c>
      <c r="S67" s="8">
        <f t="shared" si="4"/>
        <v>-84.599999999998545</v>
      </c>
      <c r="T67" s="8">
        <f t="shared" si="5"/>
        <v>-0.41741704699641569</v>
      </c>
      <c r="V67" s="13">
        <v>44899</v>
      </c>
      <c r="W67" s="8">
        <v>1114.3499999999999</v>
      </c>
      <c r="X67" s="8">
        <f t="shared" si="6"/>
        <v>9</v>
      </c>
      <c r="Y67" s="8">
        <f t="shared" si="7"/>
        <v>0.81422173972045064</v>
      </c>
      <c r="AA67" s="13">
        <v>44899</v>
      </c>
      <c r="AB67" s="8">
        <v>4510.3999999999996</v>
      </c>
      <c r="AC67" s="8">
        <f t="shared" si="8"/>
        <v>92.299999999999272</v>
      </c>
      <c r="AD67" s="8">
        <f t="shared" si="9"/>
        <v>2.0891333378601495</v>
      </c>
      <c r="AF67" s="13">
        <v>44899</v>
      </c>
      <c r="AG67" s="8">
        <v>2478.15</v>
      </c>
      <c r="AH67" s="8">
        <f t="shared" si="10"/>
        <v>50.099999999999909</v>
      </c>
      <c r="AI67" s="8">
        <f t="shared" si="11"/>
        <v>2.0633841971952762</v>
      </c>
      <c r="AK67" s="13">
        <v>44899</v>
      </c>
      <c r="AL67" s="8">
        <v>283.55</v>
      </c>
      <c r="AM67" s="8">
        <f t="shared" si="12"/>
        <v>1.4000000000000341</v>
      </c>
      <c r="AN67" s="8">
        <f t="shared" si="13"/>
        <v>0.4961899698741925</v>
      </c>
    </row>
    <row r="68" spans="2:40" x14ac:dyDescent="0.35">
      <c r="B68" s="13">
        <v>44892</v>
      </c>
      <c r="C68" s="8">
        <v>1033.8499999999999</v>
      </c>
      <c r="D68" s="8">
        <f t="shared" si="0"/>
        <v>24.249999999999886</v>
      </c>
      <c r="E68" s="8">
        <f t="shared" si="1"/>
        <v>2.4019413629159949</v>
      </c>
      <c r="G68" s="16">
        <v>44892</v>
      </c>
      <c r="H68" s="14">
        <v>3342.65</v>
      </c>
      <c r="I68" s="8">
        <v>55.3</v>
      </c>
      <c r="J68" s="8">
        <v>1.6822060320000001</v>
      </c>
      <c r="L68" s="13">
        <v>44892</v>
      </c>
      <c r="M68" s="8">
        <v>1333.7</v>
      </c>
      <c r="N68" s="8">
        <f t="shared" si="2"/>
        <v>14.350000000000136</v>
      </c>
      <c r="O68" s="8">
        <f t="shared" si="3"/>
        <v>1.0876568006973235</v>
      </c>
      <c r="Q68" s="13">
        <v>44892</v>
      </c>
      <c r="R68" s="8">
        <v>20267.5</v>
      </c>
      <c r="S68" s="8">
        <f t="shared" si="4"/>
        <v>526.25</v>
      </c>
      <c r="T68" s="8">
        <f t="shared" si="5"/>
        <v>2.6657379851833092</v>
      </c>
      <c r="V68" s="13">
        <v>44892</v>
      </c>
      <c r="W68" s="8">
        <v>1105.3499999999999</v>
      </c>
      <c r="X68" s="8">
        <f t="shared" si="6"/>
        <v>2.9499999999998181</v>
      </c>
      <c r="Y68" s="8">
        <f t="shared" si="7"/>
        <v>0.26759796806964964</v>
      </c>
      <c r="AA68" s="13">
        <v>44892</v>
      </c>
      <c r="AB68" s="8">
        <v>4418.1000000000004</v>
      </c>
      <c r="AC68" s="8">
        <f t="shared" si="8"/>
        <v>9.0500000000001819</v>
      </c>
      <c r="AD68" s="8">
        <f t="shared" si="9"/>
        <v>0.20525963642962047</v>
      </c>
      <c r="AF68" s="13">
        <v>44892</v>
      </c>
      <c r="AG68" s="8">
        <v>2428.0500000000002</v>
      </c>
      <c r="AH68" s="8">
        <f t="shared" si="10"/>
        <v>41.450000000000273</v>
      </c>
      <c r="AI68" s="8">
        <f t="shared" si="11"/>
        <v>1.7367803569932236</v>
      </c>
      <c r="AK68" s="13">
        <v>44892</v>
      </c>
      <c r="AL68" s="8">
        <v>282.14999999999998</v>
      </c>
      <c r="AM68" s="8">
        <f t="shared" si="12"/>
        <v>-5.2000000000000455</v>
      </c>
      <c r="AN68" s="8">
        <f t="shared" si="13"/>
        <v>-1.8096398120758814</v>
      </c>
    </row>
    <row r="69" spans="2:40" x14ac:dyDescent="0.35">
      <c r="B69" s="13">
        <v>44885</v>
      </c>
      <c r="C69" s="8">
        <v>1009.6</v>
      </c>
      <c r="D69" s="8">
        <f t="shared" si="0"/>
        <v>-3.9499999999999318</v>
      </c>
      <c r="E69" s="8">
        <f t="shared" si="1"/>
        <v>-0.38971930343840283</v>
      </c>
      <c r="G69" s="16">
        <v>44885</v>
      </c>
      <c r="H69" s="14">
        <v>3287.35</v>
      </c>
      <c r="I69" s="8">
        <v>15.95</v>
      </c>
      <c r="J69" s="8">
        <v>0.48755884329999999</v>
      </c>
      <c r="L69" s="13">
        <v>44885</v>
      </c>
      <c r="M69" s="8">
        <v>1319.35</v>
      </c>
      <c r="N69" s="8">
        <f t="shared" si="2"/>
        <v>-5.9500000000000455</v>
      </c>
      <c r="O69" s="8">
        <f t="shared" si="3"/>
        <v>-0.44895495359541582</v>
      </c>
      <c r="Q69" s="13">
        <v>44885</v>
      </c>
      <c r="R69" s="8">
        <v>19741.25</v>
      </c>
      <c r="S69" s="8">
        <f t="shared" si="4"/>
        <v>425.45000000000073</v>
      </c>
      <c r="T69" s="8">
        <f t="shared" si="5"/>
        <v>2.2026009795090067</v>
      </c>
      <c r="V69" s="13">
        <v>44885</v>
      </c>
      <c r="W69" s="8">
        <v>1102.4000000000001</v>
      </c>
      <c r="X69" s="8">
        <f t="shared" si="6"/>
        <v>-19</v>
      </c>
      <c r="Y69" s="8">
        <f t="shared" si="7"/>
        <v>-1.6943106830747279</v>
      </c>
      <c r="AA69" s="13">
        <v>44885</v>
      </c>
      <c r="AB69" s="8">
        <v>4409.05</v>
      </c>
      <c r="AC69" s="8">
        <f t="shared" si="8"/>
        <v>-130.39999999999964</v>
      </c>
      <c r="AD69" s="8">
        <f t="shared" si="9"/>
        <v>-2.8725946975955159</v>
      </c>
      <c r="AF69" s="13">
        <v>44885</v>
      </c>
      <c r="AG69" s="8">
        <v>2386.6</v>
      </c>
      <c r="AH69" s="8">
        <f t="shared" si="10"/>
        <v>33.849999999999909</v>
      </c>
      <c r="AI69" s="8">
        <f t="shared" si="11"/>
        <v>1.4387418977791906</v>
      </c>
      <c r="AK69" s="13">
        <v>44885</v>
      </c>
      <c r="AL69" s="8">
        <v>287.35000000000002</v>
      </c>
      <c r="AM69" s="8">
        <f t="shared" si="12"/>
        <v>6.3000000000000114</v>
      </c>
      <c r="AN69" s="8">
        <f t="shared" si="13"/>
        <v>2.2415940224159443</v>
      </c>
    </row>
    <row r="70" spans="2:40" x14ac:dyDescent="0.35">
      <c r="B70" s="13">
        <v>44878</v>
      </c>
      <c r="C70" s="8">
        <v>1013.55</v>
      </c>
      <c r="D70" s="8">
        <f t="shared" si="0"/>
        <v>-26.350000000000136</v>
      </c>
      <c r="E70" s="8">
        <f t="shared" si="1"/>
        <v>-2.5338974901432958</v>
      </c>
      <c r="G70" s="16">
        <v>44878</v>
      </c>
      <c r="H70" s="14">
        <v>3271.4</v>
      </c>
      <c r="I70" s="8">
        <v>-474.9</v>
      </c>
      <c r="J70" s="8">
        <v>-12.676507490000001</v>
      </c>
      <c r="L70" s="13">
        <v>44878</v>
      </c>
      <c r="M70" s="8">
        <v>1325.3</v>
      </c>
      <c r="N70" s="8">
        <f t="shared" si="2"/>
        <v>-20.5</v>
      </c>
      <c r="O70" s="8">
        <f t="shared" si="3"/>
        <v>-1.5232575419824641</v>
      </c>
      <c r="Q70" s="13">
        <v>44878</v>
      </c>
      <c r="R70" s="8">
        <v>19315.8</v>
      </c>
      <c r="S70" s="8">
        <f t="shared" si="4"/>
        <v>-166</v>
      </c>
      <c r="T70" s="8">
        <f t="shared" si="5"/>
        <v>-0.85207732345060516</v>
      </c>
      <c r="V70" s="13">
        <v>44878</v>
      </c>
      <c r="W70" s="8">
        <v>1121.4000000000001</v>
      </c>
      <c r="X70" s="8">
        <f t="shared" si="6"/>
        <v>-24.699999999999818</v>
      </c>
      <c r="Y70" s="8">
        <f t="shared" si="7"/>
        <v>-2.1551348049908228</v>
      </c>
      <c r="AA70" s="13">
        <v>44878</v>
      </c>
      <c r="AB70" s="8">
        <v>4539.45</v>
      </c>
      <c r="AC70" s="8">
        <f t="shared" si="8"/>
        <v>14.349999999999454</v>
      </c>
      <c r="AD70" s="8">
        <f t="shared" si="9"/>
        <v>0.31712006364499024</v>
      </c>
      <c r="AF70" s="13">
        <v>44878</v>
      </c>
      <c r="AG70" s="8">
        <v>2352.75</v>
      </c>
      <c r="AH70" s="8">
        <f t="shared" si="10"/>
        <v>-225.69999999999982</v>
      </c>
      <c r="AI70" s="8">
        <f t="shared" si="11"/>
        <v>-8.7533207934999648</v>
      </c>
      <c r="AK70" s="13">
        <v>44878</v>
      </c>
      <c r="AL70" s="8">
        <v>281.05</v>
      </c>
      <c r="AM70" s="8">
        <f t="shared" si="12"/>
        <v>7.0500000000000114</v>
      </c>
      <c r="AN70" s="8">
        <f t="shared" si="13"/>
        <v>2.5729927007299311</v>
      </c>
    </row>
    <row r="71" spans="2:40" x14ac:dyDescent="0.35">
      <c r="B71" s="13">
        <v>44871</v>
      </c>
      <c r="C71" s="8">
        <v>1039.9000000000001</v>
      </c>
      <c r="D71" s="8">
        <f t="shared" si="0"/>
        <v>49.900000000000091</v>
      </c>
      <c r="E71" s="8">
        <f t="shared" si="1"/>
        <v>5.0404040404040495</v>
      </c>
      <c r="G71" s="16">
        <v>44871</v>
      </c>
      <c r="H71" s="14">
        <v>3746.3</v>
      </c>
      <c r="I71" s="8">
        <v>198.8</v>
      </c>
      <c r="J71" s="8">
        <v>5.6039464409999997</v>
      </c>
      <c r="L71" s="13">
        <v>44871</v>
      </c>
      <c r="M71" s="8">
        <v>1345.8</v>
      </c>
      <c r="N71" s="8">
        <f t="shared" si="2"/>
        <v>-29.049999999999955</v>
      </c>
      <c r="O71" s="8">
        <f t="shared" si="3"/>
        <v>-2.1129577772120562</v>
      </c>
      <c r="Q71" s="13">
        <v>44871</v>
      </c>
      <c r="R71" s="8">
        <v>19481.8</v>
      </c>
      <c r="S71" s="8">
        <f t="shared" si="4"/>
        <v>571</v>
      </c>
      <c r="T71" s="8">
        <f t="shared" si="5"/>
        <v>3.0194386276624998</v>
      </c>
      <c r="V71" s="13">
        <v>44871</v>
      </c>
      <c r="W71" s="8">
        <v>1146.0999999999999</v>
      </c>
      <c r="X71" s="8">
        <f t="shared" si="6"/>
        <v>-9.1000000000001364</v>
      </c>
      <c r="Y71" s="8">
        <f t="shared" si="7"/>
        <v>-0.78774238227147997</v>
      </c>
      <c r="AA71" s="13">
        <v>44871</v>
      </c>
      <c r="AB71" s="8">
        <v>4525.1000000000004</v>
      </c>
      <c r="AC71" s="8">
        <f t="shared" si="8"/>
        <v>65.150000000000546</v>
      </c>
      <c r="AD71" s="8">
        <f t="shared" si="9"/>
        <v>1.4607787082814954</v>
      </c>
      <c r="AF71" s="13">
        <v>44871</v>
      </c>
      <c r="AG71" s="8">
        <v>2578.4499999999998</v>
      </c>
      <c r="AH71" s="8">
        <f t="shared" si="10"/>
        <v>17.149999999999636</v>
      </c>
      <c r="AI71" s="8">
        <f t="shared" si="11"/>
        <v>0.66958185296527684</v>
      </c>
      <c r="AK71" s="13">
        <v>44871</v>
      </c>
      <c r="AL71" s="8">
        <v>274</v>
      </c>
      <c r="AM71" s="8">
        <f t="shared" si="12"/>
        <v>1.3999999999999773</v>
      </c>
      <c r="AN71" s="8">
        <f t="shared" si="13"/>
        <v>0.5135730007336673</v>
      </c>
    </row>
    <row r="72" spans="2:40" x14ac:dyDescent="0.35">
      <c r="B72" s="13">
        <v>44864</v>
      </c>
      <c r="C72" s="8">
        <v>990</v>
      </c>
      <c r="D72" s="8">
        <f t="shared" si="0"/>
        <v>12.299999999999955</v>
      </c>
      <c r="E72" s="8">
        <f t="shared" si="1"/>
        <v>1.2580546179809711</v>
      </c>
      <c r="G72" s="16">
        <v>44864</v>
      </c>
      <c r="H72" s="14">
        <v>3547.5</v>
      </c>
      <c r="I72" s="8">
        <v>-23.9</v>
      </c>
      <c r="J72" s="8">
        <v>-0.6692053536</v>
      </c>
      <c r="L72" s="13">
        <v>44864</v>
      </c>
      <c r="M72" s="8">
        <v>1374.85</v>
      </c>
      <c r="N72" s="8">
        <f t="shared" si="2"/>
        <v>18.899999999999864</v>
      </c>
      <c r="O72" s="8">
        <f t="shared" si="3"/>
        <v>1.3938567056307285</v>
      </c>
      <c r="Q72" s="13">
        <v>44864</v>
      </c>
      <c r="R72" s="8">
        <v>18910.8</v>
      </c>
      <c r="S72" s="8">
        <f t="shared" si="4"/>
        <v>383</v>
      </c>
      <c r="T72" s="8">
        <f t="shared" si="5"/>
        <v>2.0671639374345578</v>
      </c>
      <c r="V72" s="13">
        <v>44864</v>
      </c>
      <c r="W72" s="8">
        <v>1155.2</v>
      </c>
      <c r="X72" s="8">
        <f t="shared" si="6"/>
        <v>20.450000000000045</v>
      </c>
      <c r="Y72" s="8">
        <f t="shared" si="7"/>
        <v>1.8021590658735445</v>
      </c>
      <c r="AA72" s="13">
        <v>44864</v>
      </c>
      <c r="AB72" s="8">
        <v>4459.95</v>
      </c>
      <c r="AC72" s="8">
        <f t="shared" si="8"/>
        <v>129.14999999999964</v>
      </c>
      <c r="AD72" s="8">
        <f t="shared" si="9"/>
        <v>2.9821280133000747</v>
      </c>
      <c r="AF72" s="13">
        <v>44864</v>
      </c>
      <c r="AG72" s="8">
        <v>2561.3000000000002</v>
      </c>
      <c r="AH72" s="8">
        <f t="shared" si="10"/>
        <v>-0.59999999999990905</v>
      </c>
      <c r="AI72" s="8">
        <f t="shared" si="11"/>
        <v>-2.342011788125645E-2</v>
      </c>
      <c r="AK72" s="13">
        <v>44864</v>
      </c>
      <c r="AL72" s="8">
        <v>272.60000000000002</v>
      </c>
      <c r="AM72" s="8">
        <f t="shared" si="12"/>
        <v>3.8000000000000114</v>
      </c>
      <c r="AN72" s="8">
        <f t="shared" si="13"/>
        <v>1.4136904761904803</v>
      </c>
    </row>
    <row r="73" spans="2:40" x14ac:dyDescent="0.35">
      <c r="B73" s="13">
        <v>44857</v>
      </c>
      <c r="C73" s="8">
        <v>977.7</v>
      </c>
      <c r="D73" s="8">
        <f t="shared" si="0"/>
        <v>1.4000000000000909</v>
      </c>
      <c r="E73" s="8">
        <f t="shared" si="1"/>
        <v>0.14339854552904752</v>
      </c>
      <c r="G73" s="16">
        <v>44857</v>
      </c>
      <c r="H73" s="14">
        <v>3571.4</v>
      </c>
      <c r="I73" s="8">
        <v>-1.4</v>
      </c>
      <c r="J73" s="8">
        <v>-3.918495298E-2</v>
      </c>
      <c r="L73" s="13">
        <v>44857</v>
      </c>
      <c r="M73" s="8">
        <v>1355.95</v>
      </c>
      <c r="N73" s="8">
        <f t="shared" si="2"/>
        <v>-22.700000000000045</v>
      </c>
      <c r="O73" s="8">
        <f t="shared" si="3"/>
        <v>-1.6465382802016497</v>
      </c>
      <c r="Q73" s="13">
        <v>44857</v>
      </c>
      <c r="R73" s="8">
        <v>18527.8</v>
      </c>
      <c r="S73" s="8">
        <f t="shared" si="4"/>
        <v>445.89999999999782</v>
      </c>
      <c r="T73" s="8">
        <f t="shared" si="5"/>
        <v>2.4660019135157132</v>
      </c>
      <c r="V73" s="13">
        <v>44857</v>
      </c>
      <c r="W73" s="8">
        <v>1134.75</v>
      </c>
      <c r="X73" s="8">
        <f t="shared" si="6"/>
        <v>25.849999999999909</v>
      </c>
      <c r="Y73" s="8">
        <f t="shared" si="7"/>
        <v>2.331138966543413</v>
      </c>
      <c r="AA73" s="13">
        <v>44857</v>
      </c>
      <c r="AB73" s="8">
        <v>4330.8</v>
      </c>
      <c r="AC73" s="8">
        <f t="shared" si="8"/>
        <v>20</v>
      </c>
      <c r="AD73" s="8">
        <f t="shared" si="9"/>
        <v>0.46395100677368467</v>
      </c>
      <c r="AF73" s="13">
        <v>44857</v>
      </c>
      <c r="AG73" s="8">
        <v>2561.9</v>
      </c>
      <c r="AH73" s="8">
        <f t="shared" si="10"/>
        <v>184.40000000000009</v>
      </c>
      <c r="AI73" s="8">
        <f t="shared" si="11"/>
        <v>7.7560462670872798</v>
      </c>
      <c r="AK73" s="13">
        <v>44857</v>
      </c>
      <c r="AL73" s="8">
        <v>268.8</v>
      </c>
      <c r="AM73" s="8">
        <f t="shared" si="12"/>
        <v>7.5</v>
      </c>
      <c r="AN73" s="8">
        <f t="shared" si="13"/>
        <v>2.8702640642939148</v>
      </c>
    </row>
    <row r="74" spans="2:40" x14ac:dyDescent="0.35">
      <c r="B74" s="13">
        <v>44850</v>
      </c>
      <c r="C74" s="8">
        <v>976.3</v>
      </c>
      <c r="D74" s="8">
        <f t="shared" si="0"/>
        <v>21.149999999999977</v>
      </c>
      <c r="E74" s="8">
        <f t="shared" si="1"/>
        <v>2.2143118881850996</v>
      </c>
      <c r="G74" s="16">
        <v>44850</v>
      </c>
      <c r="H74" s="14">
        <v>3572.8</v>
      </c>
      <c r="I74" s="8">
        <v>-162.94999999999999</v>
      </c>
      <c r="J74" s="8">
        <v>-4.3619085860000002</v>
      </c>
      <c r="L74" s="13">
        <v>44850</v>
      </c>
      <c r="M74" s="8">
        <v>1378.65</v>
      </c>
      <c r="N74" s="8">
        <f t="shared" si="2"/>
        <v>-16.399999999999864</v>
      </c>
      <c r="O74" s="8">
        <f t="shared" si="3"/>
        <v>-1.1755851044765324</v>
      </c>
      <c r="Q74" s="13">
        <v>44850</v>
      </c>
      <c r="R74" s="8">
        <v>18081.900000000001</v>
      </c>
      <c r="S74" s="8">
        <f t="shared" si="4"/>
        <v>-974.09999999999854</v>
      </c>
      <c r="T74" s="8">
        <f t="shared" si="5"/>
        <v>-5.1117758186397912</v>
      </c>
      <c r="V74" s="13">
        <v>44850</v>
      </c>
      <c r="W74" s="8">
        <v>1108.9000000000001</v>
      </c>
      <c r="X74" s="8">
        <f t="shared" si="6"/>
        <v>-21.599999999999909</v>
      </c>
      <c r="Y74" s="8">
        <f t="shared" si="7"/>
        <v>-1.9106590004422741</v>
      </c>
      <c r="AA74" s="13">
        <v>44850</v>
      </c>
      <c r="AB74" s="8">
        <v>4310.8</v>
      </c>
      <c r="AC74" s="8">
        <f t="shared" si="8"/>
        <v>-65.849999999999454</v>
      </c>
      <c r="AD74" s="8">
        <f t="shared" si="9"/>
        <v>-1.5045754172711883</v>
      </c>
      <c r="AF74" s="13">
        <v>44850</v>
      </c>
      <c r="AG74" s="8">
        <v>2377.5</v>
      </c>
      <c r="AH74" s="8">
        <f t="shared" si="10"/>
        <v>-64.349999999999909</v>
      </c>
      <c r="AI74" s="8">
        <f t="shared" si="11"/>
        <v>-2.6352970084157468</v>
      </c>
      <c r="AK74" s="13">
        <v>44850</v>
      </c>
      <c r="AL74" s="8">
        <v>261.3</v>
      </c>
      <c r="AM74" s="8">
        <f t="shared" si="12"/>
        <v>-21.550000000000011</v>
      </c>
      <c r="AN74" s="8">
        <f t="shared" si="13"/>
        <v>-7.6188792646278971</v>
      </c>
    </row>
    <row r="75" spans="2:40" x14ac:dyDescent="0.35">
      <c r="B75" s="13">
        <v>44843</v>
      </c>
      <c r="C75" s="8">
        <v>955.15</v>
      </c>
      <c r="D75" s="8">
        <f t="shared" si="0"/>
        <v>6.5</v>
      </c>
      <c r="E75" s="8">
        <f t="shared" si="1"/>
        <v>0.68518420913930322</v>
      </c>
      <c r="G75" s="16">
        <v>44843</v>
      </c>
      <c r="H75" s="14">
        <v>3735.75</v>
      </c>
      <c r="I75" s="8">
        <v>30.55</v>
      </c>
      <c r="J75" s="8">
        <v>0.82451689520000004</v>
      </c>
      <c r="L75" s="13">
        <v>44843</v>
      </c>
      <c r="M75" s="8">
        <v>1395.05</v>
      </c>
      <c r="N75" s="8">
        <f t="shared" si="2"/>
        <v>-29.350000000000136</v>
      </c>
      <c r="O75" s="8">
        <f t="shared" si="3"/>
        <v>-2.0605167087896752</v>
      </c>
      <c r="Q75" s="13">
        <v>44843</v>
      </c>
      <c r="R75" s="8">
        <v>19056</v>
      </c>
      <c r="S75" s="8">
        <f t="shared" si="4"/>
        <v>-83.150000000001455</v>
      </c>
      <c r="T75" s="8">
        <f t="shared" si="5"/>
        <v>-0.43444980576463138</v>
      </c>
      <c r="V75" s="13">
        <v>44843</v>
      </c>
      <c r="W75" s="8">
        <v>1130.5</v>
      </c>
      <c r="X75" s="8">
        <f t="shared" si="6"/>
        <v>15.549999999999955</v>
      </c>
      <c r="Y75" s="8">
        <f t="shared" si="7"/>
        <v>1.3946813758464465</v>
      </c>
      <c r="AA75" s="13">
        <v>44843</v>
      </c>
      <c r="AB75" s="8">
        <v>4376.6499999999996</v>
      </c>
      <c r="AC75" s="8">
        <f t="shared" si="8"/>
        <v>40.949999999999818</v>
      </c>
      <c r="AD75" s="8">
        <f t="shared" si="9"/>
        <v>0.94448416633991794</v>
      </c>
      <c r="AF75" s="13">
        <v>44843</v>
      </c>
      <c r="AG75" s="8">
        <v>2441.85</v>
      </c>
      <c r="AH75" s="8">
        <f t="shared" si="10"/>
        <v>-76.900000000000091</v>
      </c>
      <c r="AI75" s="8">
        <f t="shared" si="11"/>
        <v>-3.0531017369727085</v>
      </c>
      <c r="AK75" s="13">
        <v>44843</v>
      </c>
      <c r="AL75" s="8">
        <v>282.85000000000002</v>
      </c>
      <c r="AM75" s="8">
        <f t="shared" si="12"/>
        <v>-8.0999999999999659</v>
      </c>
      <c r="AN75" s="8">
        <f t="shared" si="13"/>
        <v>-2.7839835023199746</v>
      </c>
    </row>
    <row r="76" spans="2:40" x14ac:dyDescent="0.35">
      <c r="B76" s="13">
        <v>44836</v>
      </c>
      <c r="C76" s="8">
        <v>948.65</v>
      </c>
      <c r="D76" s="8">
        <f t="shared" si="0"/>
        <v>27.549999999999955</v>
      </c>
      <c r="E76" s="8">
        <f t="shared" si="1"/>
        <v>2.9909890348496311</v>
      </c>
      <c r="G76" s="16">
        <v>44836</v>
      </c>
      <c r="H76" s="14">
        <v>3705.2</v>
      </c>
      <c r="I76" s="8">
        <v>62.6</v>
      </c>
      <c r="J76" s="8">
        <v>1.7185526820000001</v>
      </c>
      <c r="L76" s="13">
        <v>44836</v>
      </c>
      <c r="M76" s="8">
        <v>1424.4</v>
      </c>
      <c r="N76" s="8">
        <f t="shared" si="2"/>
        <v>20.150000000000091</v>
      </c>
      <c r="O76" s="8">
        <f t="shared" si="3"/>
        <v>1.4349296777639373</v>
      </c>
      <c r="Q76" s="13">
        <v>44836</v>
      </c>
      <c r="R76" s="8">
        <v>19139.150000000001</v>
      </c>
      <c r="S76" s="8">
        <f t="shared" si="4"/>
        <v>1285.4000000000015</v>
      </c>
      <c r="T76" s="8">
        <f t="shared" si="5"/>
        <v>7.1996079255058545</v>
      </c>
      <c r="V76" s="13">
        <v>44836</v>
      </c>
      <c r="W76" s="8">
        <v>1114.95</v>
      </c>
      <c r="X76" s="8">
        <f t="shared" si="6"/>
        <v>46.850000000000136</v>
      </c>
      <c r="Y76" s="8">
        <f t="shared" si="7"/>
        <v>4.3862934182192808</v>
      </c>
      <c r="AA76" s="13">
        <v>44836</v>
      </c>
      <c r="AB76" s="8">
        <v>4335.7</v>
      </c>
      <c r="AC76" s="8">
        <f t="shared" si="8"/>
        <v>196.5</v>
      </c>
      <c r="AD76" s="8">
        <f t="shared" si="9"/>
        <v>4.7472941631233088</v>
      </c>
      <c r="AF76" s="13">
        <v>44836</v>
      </c>
      <c r="AG76" s="8">
        <v>2518.75</v>
      </c>
      <c r="AH76" s="8">
        <f t="shared" si="10"/>
        <v>3.8499999999999091</v>
      </c>
      <c r="AI76" s="8">
        <f t="shared" si="11"/>
        <v>0.15308759791641452</v>
      </c>
      <c r="AK76" s="13">
        <v>44836</v>
      </c>
      <c r="AL76" s="8">
        <v>290.95</v>
      </c>
      <c r="AM76" s="8">
        <f t="shared" si="12"/>
        <v>7.1499999999999773</v>
      </c>
      <c r="AN76" s="8">
        <f t="shared" si="13"/>
        <v>2.5193798449612324</v>
      </c>
    </row>
    <row r="77" spans="2:40" x14ac:dyDescent="0.35">
      <c r="B77" s="13">
        <v>44829</v>
      </c>
      <c r="C77" s="8">
        <v>921.1</v>
      </c>
      <c r="D77" s="8">
        <f t="shared" si="0"/>
        <v>53.050000000000068</v>
      </c>
      <c r="E77" s="8">
        <f t="shared" si="1"/>
        <v>6.1113991129543317</v>
      </c>
      <c r="G77" s="16">
        <v>44829</v>
      </c>
      <c r="H77" s="14">
        <v>3642.6</v>
      </c>
      <c r="I77" s="8">
        <v>68.900000000000006</v>
      </c>
      <c r="J77" s="8">
        <v>1.927973809</v>
      </c>
      <c r="L77" s="13">
        <v>44829</v>
      </c>
      <c r="M77" s="8">
        <v>1404.25</v>
      </c>
      <c r="N77" s="8">
        <f t="shared" si="2"/>
        <v>-27.5</v>
      </c>
      <c r="O77" s="8">
        <f t="shared" si="3"/>
        <v>-1.9207263837960538</v>
      </c>
      <c r="Q77" s="13">
        <v>44829</v>
      </c>
      <c r="R77" s="8">
        <v>17853.75</v>
      </c>
      <c r="S77" s="8">
        <f t="shared" si="4"/>
        <v>305.79999999999927</v>
      </c>
      <c r="T77" s="8">
        <f t="shared" si="5"/>
        <v>1.7426537002897733</v>
      </c>
      <c r="V77" s="13">
        <v>44829</v>
      </c>
      <c r="W77" s="8">
        <v>1068.0999999999999</v>
      </c>
      <c r="X77" s="8">
        <f t="shared" si="6"/>
        <v>24.599999999999909</v>
      </c>
      <c r="Y77" s="8">
        <f t="shared" si="7"/>
        <v>2.3574508864398571</v>
      </c>
      <c r="AA77" s="13">
        <v>44829</v>
      </c>
      <c r="AB77" s="8">
        <v>4139.2</v>
      </c>
      <c r="AC77" s="8">
        <f t="shared" si="8"/>
        <v>61.849999999999909</v>
      </c>
      <c r="AD77" s="8">
        <f t="shared" si="9"/>
        <v>1.5169166247685362</v>
      </c>
      <c r="AF77" s="13">
        <v>44829</v>
      </c>
      <c r="AG77" s="8">
        <v>2514.9</v>
      </c>
      <c r="AH77" s="8">
        <f t="shared" si="10"/>
        <v>218.20000000000027</v>
      </c>
      <c r="AI77" s="8">
        <f t="shared" si="11"/>
        <v>9.5005877998868069</v>
      </c>
      <c r="AK77" s="13">
        <v>44829</v>
      </c>
      <c r="AL77" s="8">
        <v>283.8</v>
      </c>
      <c r="AM77" s="8">
        <f t="shared" si="12"/>
        <v>-7.4499999999999886</v>
      </c>
      <c r="AN77" s="8">
        <f t="shared" si="13"/>
        <v>-2.5579399141630863</v>
      </c>
    </row>
    <row r="78" spans="2:40" x14ac:dyDescent="0.35">
      <c r="B78" s="13">
        <v>44822</v>
      </c>
      <c r="C78" s="8">
        <v>868.05</v>
      </c>
      <c r="D78" s="8">
        <f t="shared" si="0"/>
        <v>-21.950000000000045</v>
      </c>
      <c r="E78" s="8">
        <f t="shared" si="1"/>
        <v>-2.4662921348314657</v>
      </c>
      <c r="G78" s="16">
        <v>44822</v>
      </c>
      <c r="H78" s="14">
        <v>3573.7</v>
      </c>
      <c r="I78" s="8">
        <v>-29.3</v>
      </c>
      <c r="J78" s="8">
        <v>-0.81321121289999998</v>
      </c>
      <c r="L78" s="13">
        <v>44822</v>
      </c>
      <c r="M78" s="8">
        <v>1431.75</v>
      </c>
      <c r="N78" s="8">
        <f t="shared" si="2"/>
        <v>2.9000000000000909</v>
      </c>
      <c r="O78" s="8">
        <f t="shared" si="3"/>
        <v>0.20296042271757644</v>
      </c>
      <c r="Q78" s="13">
        <v>44822</v>
      </c>
      <c r="R78" s="8">
        <v>17547.95</v>
      </c>
      <c r="S78" s="8">
        <f t="shared" si="4"/>
        <v>-728.45000000000073</v>
      </c>
      <c r="T78" s="8">
        <f t="shared" si="5"/>
        <v>-3.9857411744107192</v>
      </c>
      <c r="V78" s="13">
        <v>44822</v>
      </c>
      <c r="W78" s="8">
        <v>1043.5</v>
      </c>
      <c r="X78" s="8">
        <f t="shared" si="6"/>
        <v>-14.799999999999955</v>
      </c>
      <c r="Y78" s="8">
        <f t="shared" si="7"/>
        <v>-1.3984692431257635</v>
      </c>
      <c r="AA78" s="13">
        <v>44822</v>
      </c>
      <c r="AB78" s="8">
        <v>4077.35</v>
      </c>
      <c r="AC78" s="8">
        <f t="shared" si="8"/>
        <v>-177.75000000000045</v>
      </c>
      <c r="AD78" s="8">
        <f t="shared" si="9"/>
        <v>-4.1773401330168607</v>
      </c>
      <c r="AF78" s="13">
        <v>44822</v>
      </c>
      <c r="AG78" s="8">
        <v>2296.6999999999998</v>
      </c>
      <c r="AH78" s="8">
        <f t="shared" si="10"/>
        <v>-235.35000000000036</v>
      </c>
      <c r="AI78" s="8">
        <f t="shared" si="11"/>
        <v>-9.2948401492861645</v>
      </c>
      <c r="AK78" s="13">
        <v>44822</v>
      </c>
      <c r="AL78" s="8">
        <v>291.25</v>
      </c>
      <c r="AM78" s="8">
        <f t="shared" si="12"/>
        <v>-10.899999999999977</v>
      </c>
      <c r="AN78" s="8">
        <f t="shared" si="13"/>
        <v>-3.6074797286116094</v>
      </c>
    </row>
    <row r="79" spans="2:40" x14ac:dyDescent="0.35">
      <c r="B79" s="13">
        <v>44815</v>
      </c>
      <c r="C79" s="8">
        <v>890</v>
      </c>
      <c r="D79" s="8">
        <f t="shared" si="0"/>
        <v>20.450000000000045</v>
      </c>
      <c r="E79" s="8">
        <f t="shared" si="1"/>
        <v>2.3517911563452416</v>
      </c>
      <c r="G79" s="16">
        <v>44815</v>
      </c>
      <c r="H79" s="14">
        <v>3603</v>
      </c>
      <c r="I79" s="8">
        <v>4.8499999999999996</v>
      </c>
      <c r="J79" s="8">
        <v>0.13479149009999999</v>
      </c>
      <c r="L79" s="13">
        <v>44815</v>
      </c>
      <c r="M79" s="8">
        <v>1428.85</v>
      </c>
      <c r="N79" s="8">
        <f t="shared" si="2"/>
        <v>-4.9000000000000909</v>
      </c>
      <c r="O79" s="8">
        <f t="shared" si="3"/>
        <v>-0.34176111595467068</v>
      </c>
      <c r="Q79" s="13">
        <v>44815</v>
      </c>
      <c r="R79" s="8">
        <v>18276.400000000001</v>
      </c>
      <c r="S79" s="8">
        <f t="shared" ref="S79:S142" si="14">IF(AND(ISNUMBER(R79),ISNUMBER(R80)), (R79 - R80), "")</f>
        <v>-165.84999999999854</v>
      </c>
      <c r="T79" s="8">
        <f t="shared" ref="T79:T142" si="15">IF(AND(ISNUMBER(S79),ISNUMBER(R80)), (100*S79/ABS(R80)), "")</f>
        <v>-0.89929374127342676</v>
      </c>
      <c r="V79" s="13">
        <v>44815</v>
      </c>
      <c r="W79" s="8">
        <v>1058.3</v>
      </c>
      <c r="X79" s="8">
        <f t="shared" si="6"/>
        <v>42.699999999999932</v>
      </c>
      <c r="Y79" s="8">
        <f t="shared" si="7"/>
        <v>4.2044111855060979</v>
      </c>
      <c r="AA79" s="13">
        <v>44815</v>
      </c>
      <c r="AB79" s="8">
        <v>4255.1000000000004</v>
      </c>
      <c r="AC79" s="8">
        <f t="shared" si="8"/>
        <v>65.150000000000546</v>
      </c>
      <c r="AD79" s="8">
        <f t="shared" si="9"/>
        <v>1.5549111564577274</v>
      </c>
      <c r="AF79" s="13">
        <v>44815</v>
      </c>
      <c r="AG79" s="8">
        <v>2532.0500000000002</v>
      </c>
      <c r="AH79" s="8">
        <f t="shared" si="10"/>
        <v>92.800000000000182</v>
      </c>
      <c r="AI79" s="8">
        <f t="shared" si="11"/>
        <v>3.8044480885518164</v>
      </c>
      <c r="AK79" s="13">
        <v>44815</v>
      </c>
      <c r="AL79" s="8">
        <v>302.14999999999998</v>
      </c>
      <c r="AM79" s="8">
        <f t="shared" si="12"/>
        <v>6.5499999999999545</v>
      </c>
      <c r="AN79" s="8">
        <f t="shared" si="13"/>
        <v>2.2158322056833404</v>
      </c>
    </row>
    <row r="80" spans="2:40" x14ac:dyDescent="0.35">
      <c r="B80" s="13">
        <v>44808</v>
      </c>
      <c r="C80" s="8">
        <v>869.55</v>
      </c>
      <c r="D80" s="8">
        <f t="shared" si="0"/>
        <v>-10.600000000000023</v>
      </c>
      <c r="E80" s="8">
        <f t="shared" si="1"/>
        <v>-1.2043401692893283</v>
      </c>
      <c r="G80" s="16">
        <v>44808</v>
      </c>
      <c r="H80" s="14">
        <v>3598.15</v>
      </c>
      <c r="I80" s="8">
        <v>10.65</v>
      </c>
      <c r="J80" s="8">
        <v>0.29686411150000003</v>
      </c>
      <c r="L80" s="13">
        <v>44808</v>
      </c>
      <c r="M80" s="8">
        <v>1433.75</v>
      </c>
      <c r="N80" s="8">
        <f t="shared" si="2"/>
        <v>-36.700000000000045</v>
      </c>
      <c r="O80" s="8">
        <f t="shared" si="3"/>
        <v>-2.4958346084531975</v>
      </c>
      <c r="Q80" s="13">
        <v>44808</v>
      </c>
      <c r="R80" s="8">
        <v>18442.25</v>
      </c>
      <c r="S80" s="8">
        <f t="shared" si="14"/>
        <v>-134.79999999999927</v>
      </c>
      <c r="T80" s="8">
        <f t="shared" si="15"/>
        <v>-0.72562651228262443</v>
      </c>
      <c r="V80" s="13">
        <v>44808</v>
      </c>
      <c r="W80" s="8">
        <v>1015.6</v>
      </c>
      <c r="X80" s="8">
        <f t="shared" si="6"/>
        <v>-5.1999999999999318</v>
      </c>
      <c r="Y80" s="8">
        <f t="shared" si="7"/>
        <v>-0.50940438871472693</v>
      </c>
      <c r="AA80" s="13">
        <v>44808</v>
      </c>
      <c r="AB80" s="8">
        <v>4189.95</v>
      </c>
      <c r="AC80" s="8">
        <f t="shared" si="8"/>
        <v>-33.350000000000364</v>
      </c>
      <c r="AD80" s="8">
        <f t="shared" si="9"/>
        <v>-0.78966684819928401</v>
      </c>
      <c r="AF80" s="13">
        <v>44808</v>
      </c>
      <c r="AG80" s="8">
        <v>2439.25</v>
      </c>
      <c r="AH80" s="8">
        <f t="shared" si="10"/>
        <v>-197.44999999999982</v>
      </c>
      <c r="AI80" s="8">
        <f t="shared" si="11"/>
        <v>-7.4885273258239407</v>
      </c>
      <c r="AK80" s="13">
        <v>44808</v>
      </c>
      <c r="AL80" s="8">
        <v>295.60000000000002</v>
      </c>
      <c r="AM80" s="8">
        <f t="shared" si="12"/>
        <v>-11.149999999999977</v>
      </c>
      <c r="AN80" s="8">
        <f t="shared" si="13"/>
        <v>-3.6348818255908646</v>
      </c>
    </row>
    <row r="81" spans="2:40" x14ac:dyDescent="0.35">
      <c r="B81" s="13">
        <v>44801</v>
      </c>
      <c r="C81" s="8">
        <v>880.15</v>
      </c>
      <c r="D81" s="8">
        <f t="shared" si="0"/>
        <v>-21.200000000000045</v>
      </c>
      <c r="E81" s="8">
        <f t="shared" si="1"/>
        <v>-2.3520275142841345</v>
      </c>
      <c r="G81" s="16">
        <v>44801</v>
      </c>
      <c r="H81" s="14">
        <v>3587.5</v>
      </c>
      <c r="I81" s="8">
        <v>-108.7</v>
      </c>
      <c r="J81" s="8">
        <v>-2.9408581790000001</v>
      </c>
      <c r="L81" s="13">
        <v>44801</v>
      </c>
      <c r="M81" s="8">
        <v>1470.45</v>
      </c>
      <c r="N81" s="8">
        <f t="shared" si="2"/>
        <v>-2.7000000000000455</v>
      </c>
      <c r="O81" s="8">
        <f t="shared" si="3"/>
        <v>-0.183280724977093</v>
      </c>
      <c r="Q81" s="13">
        <v>44801</v>
      </c>
      <c r="R81" s="8">
        <v>18577.05</v>
      </c>
      <c r="S81" s="8">
        <f t="shared" si="14"/>
        <v>-243.75</v>
      </c>
      <c r="T81" s="8">
        <f t="shared" si="15"/>
        <v>-1.2951096659015557</v>
      </c>
      <c r="V81" s="13">
        <v>44801</v>
      </c>
      <c r="W81" s="8">
        <v>1020.8</v>
      </c>
      <c r="X81" s="8">
        <f t="shared" si="6"/>
        <v>-9.2999999999999545</v>
      </c>
      <c r="Y81" s="8">
        <f t="shared" si="7"/>
        <v>-0.90282496844966076</v>
      </c>
      <c r="AA81" s="13">
        <v>44801</v>
      </c>
      <c r="AB81" s="8">
        <v>4223.3</v>
      </c>
      <c r="AC81" s="8">
        <f t="shared" si="8"/>
        <v>19.300000000000182</v>
      </c>
      <c r="AD81" s="8">
        <f t="shared" si="9"/>
        <v>0.4590865842055229</v>
      </c>
      <c r="AF81" s="13">
        <v>44801</v>
      </c>
      <c r="AG81" s="8">
        <v>2636.7</v>
      </c>
      <c r="AH81" s="8">
        <f t="shared" si="10"/>
        <v>185.69999999999982</v>
      </c>
      <c r="AI81" s="8">
        <f t="shared" si="11"/>
        <v>7.5764993880048888</v>
      </c>
      <c r="AK81" s="13">
        <v>44801</v>
      </c>
      <c r="AL81" s="8">
        <v>306.75</v>
      </c>
      <c r="AM81" s="8">
        <f t="shared" si="12"/>
        <v>-1.3999999999999773</v>
      </c>
      <c r="AN81" s="8">
        <f t="shared" si="13"/>
        <v>-0.45432419276325731</v>
      </c>
    </row>
    <row r="82" spans="2:40" x14ac:dyDescent="0.35">
      <c r="B82" s="13">
        <v>44794</v>
      </c>
      <c r="C82" s="8">
        <v>901.35</v>
      </c>
      <c r="D82" s="8">
        <f t="shared" si="0"/>
        <v>-12.100000000000023</v>
      </c>
      <c r="E82" s="8">
        <f t="shared" si="1"/>
        <v>-1.324648311347093</v>
      </c>
      <c r="G82" s="16">
        <v>44794</v>
      </c>
      <c r="H82" s="14">
        <v>3696.2</v>
      </c>
      <c r="I82" s="8">
        <v>-30</v>
      </c>
      <c r="J82" s="8">
        <v>-0.80510976329999995</v>
      </c>
      <c r="L82" s="13">
        <v>44794</v>
      </c>
      <c r="M82" s="8">
        <v>1473.15</v>
      </c>
      <c r="N82" s="8">
        <f t="shared" si="2"/>
        <v>30.25</v>
      </c>
      <c r="O82" s="8">
        <f t="shared" si="3"/>
        <v>2.096472382008455</v>
      </c>
      <c r="Q82" s="13">
        <v>44794</v>
      </c>
      <c r="R82" s="8">
        <v>18820.8</v>
      </c>
      <c r="S82" s="8">
        <f t="shared" si="14"/>
        <v>27.450000000000728</v>
      </c>
      <c r="T82" s="8">
        <f t="shared" si="15"/>
        <v>0.14606230395326394</v>
      </c>
      <c r="V82" s="13">
        <v>44794</v>
      </c>
      <c r="W82" s="8">
        <v>1030.0999999999999</v>
      </c>
      <c r="X82" s="8">
        <f t="shared" si="6"/>
        <v>2.9499999999998181</v>
      </c>
      <c r="Y82" s="8">
        <f t="shared" si="7"/>
        <v>0.28720245339043154</v>
      </c>
      <c r="AA82" s="13">
        <v>44794</v>
      </c>
      <c r="AB82" s="8">
        <v>4204</v>
      </c>
      <c r="AC82" s="8">
        <f t="shared" si="8"/>
        <v>-56.800000000000182</v>
      </c>
      <c r="AD82" s="8">
        <f t="shared" si="9"/>
        <v>-1.3330829891100304</v>
      </c>
      <c r="AF82" s="13">
        <v>44794</v>
      </c>
      <c r="AG82" s="8">
        <v>2451</v>
      </c>
      <c r="AH82" s="8">
        <f t="shared" si="10"/>
        <v>13.650000000000091</v>
      </c>
      <c r="AI82" s="8">
        <f t="shared" si="11"/>
        <v>0.56003446365930587</v>
      </c>
      <c r="AK82" s="13">
        <v>44794</v>
      </c>
      <c r="AL82" s="8">
        <v>308.14999999999998</v>
      </c>
      <c r="AM82" s="8">
        <f t="shared" si="12"/>
        <v>-3</v>
      </c>
      <c r="AN82" s="8">
        <f t="shared" si="13"/>
        <v>-0.96416519363650977</v>
      </c>
    </row>
    <row r="83" spans="2:40" x14ac:dyDescent="0.35">
      <c r="B83" s="13">
        <v>44787</v>
      </c>
      <c r="C83" s="8">
        <v>913.45</v>
      </c>
      <c r="D83" s="8">
        <f t="shared" si="0"/>
        <v>-2.5</v>
      </c>
      <c r="E83" s="8">
        <f t="shared" si="1"/>
        <v>-0.272940662699929</v>
      </c>
      <c r="G83" s="16">
        <v>44787</v>
      </c>
      <c r="H83" s="14">
        <v>3726.2</v>
      </c>
      <c r="I83" s="8">
        <v>-186</v>
      </c>
      <c r="J83" s="8">
        <v>-4.7543581619999999</v>
      </c>
      <c r="L83" s="13">
        <v>44787</v>
      </c>
      <c r="M83" s="8">
        <v>1442.9</v>
      </c>
      <c r="N83" s="8">
        <f t="shared" si="2"/>
        <v>34.400000000000091</v>
      </c>
      <c r="O83" s="8">
        <f t="shared" si="3"/>
        <v>2.4423145189918416</v>
      </c>
      <c r="Q83" s="13">
        <v>44787</v>
      </c>
      <c r="R83" s="8">
        <v>18793.349999999999</v>
      </c>
      <c r="S83" s="8">
        <f t="shared" si="14"/>
        <v>-1632.9000000000015</v>
      </c>
      <c r="T83" s="8">
        <f t="shared" si="15"/>
        <v>-7.9941252065357151</v>
      </c>
      <c r="V83" s="13">
        <v>44787</v>
      </c>
      <c r="W83" s="8">
        <v>1027.1500000000001</v>
      </c>
      <c r="X83" s="8">
        <f t="shared" si="6"/>
        <v>-7.0499999999999545</v>
      </c>
      <c r="Y83" s="8">
        <f t="shared" si="7"/>
        <v>-0.68168632759620518</v>
      </c>
      <c r="AA83" s="13">
        <v>44787</v>
      </c>
      <c r="AB83" s="8">
        <v>4260.8</v>
      </c>
      <c r="AC83" s="8">
        <f t="shared" si="8"/>
        <v>103.94999999999982</v>
      </c>
      <c r="AD83" s="8">
        <f t="shared" si="9"/>
        <v>2.5006916294790482</v>
      </c>
      <c r="AF83" s="13">
        <v>44787</v>
      </c>
      <c r="AG83" s="8">
        <v>2437.35</v>
      </c>
      <c r="AH83" s="8">
        <f t="shared" si="10"/>
        <v>10.349999999999909</v>
      </c>
      <c r="AI83" s="8">
        <f t="shared" si="11"/>
        <v>0.42645241038318538</v>
      </c>
      <c r="AK83" s="13">
        <v>44787</v>
      </c>
      <c r="AL83" s="8">
        <v>311.14999999999998</v>
      </c>
      <c r="AM83" s="8">
        <f t="shared" si="12"/>
        <v>-2.1500000000000341</v>
      </c>
      <c r="AN83" s="8">
        <f t="shared" si="13"/>
        <v>-0.6862432173635602</v>
      </c>
    </row>
    <row r="84" spans="2:40" x14ac:dyDescent="0.35">
      <c r="B84" s="13">
        <v>44780</v>
      </c>
      <c r="C84" s="8">
        <v>915.95</v>
      </c>
      <c r="D84" s="8">
        <f t="shared" si="0"/>
        <v>-27.25</v>
      </c>
      <c r="E84" s="8">
        <f t="shared" si="1"/>
        <v>-2.8891009329940625</v>
      </c>
      <c r="G84" s="16">
        <v>44780</v>
      </c>
      <c r="H84" s="14">
        <v>3912.2</v>
      </c>
      <c r="I84" s="8">
        <v>80.55</v>
      </c>
      <c r="J84" s="8">
        <v>2.1022275000000001</v>
      </c>
      <c r="L84" s="13">
        <v>44780</v>
      </c>
      <c r="M84" s="8">
        <v>1408.5</v>
      </c>
      <c r="N84" s="8">
        <f t="shared" si="2"/>
        <v>2.2000000000000455</v>
      </c>
      <c r="O84" s="8">
        <f t="shared" si="3"/>
        <v>0.15643888217308152</v>
      </c>
      <c r="Q84" s="13">
        <v>44780</v>
      </c>
      <c r="R84" s="8">
        <v>20426.25</v>
      </c>
      <c r="S84" s="8">
        <f t="shared" si="14"/>
        <v>411.15000000000146</v>
      </c>
      <c r="T84" s="8">
        <f t="shared" si="15"/>
        <v>2.0541990796948379</v>
      </c>
      <c r="V84" s="13">
        <v>44780</v>
      </c>
      <c r="W84" s="8">
        <v>1034.2</v>
      </c>
      <c r="X84" s="8">
        <f t="shared" si="6"/>
        <v>56.800000000000068</v>
      </c>
      <c r="Y84" s="8">
        <f t="shared" si="7"/>
        <v>5.8113361980765372</v>
      </c>
      <c r="AA84" s="13">
        <v>44780</v>
      </c>
      <c r="AB84" s="8">
        <v>4156.8500000000004</v>
      </c>
      <c r="AC84" s="8">
        <f t="shared" si="8"/>
        <v>66.500000000000455</v>
      </c>
      <c r="AD84" s="8">
        <f t="shared" si="9"/>
        <v>1.6257777451807414</v>
      </c>
      <c r="AF84" s="13">
        <v>44780</v>
      </c>
      <c r="AG84" s="8">
        <v>2427</v>
      </c>
      <c r="AH84" s="8">
        <f t="shared" si="10"/>
        <v>123.40000000000009</v>
      </c>
      <c r="AI84" s="8">
        <f t="shared" si="11"/>
        <v>5.3568327834693568</v>
      </c>
      <c r="AK84" s="13">
        <v>44780</v>
      </c>
      <c r="AL84" s="8">
        <v>313.3</v>
      </c>
      <c r="AM84" s="8">
        <f t="shared" si="12"/>
        <v>6.1000000000000227</v>
      </c>
      <c r="AN84" s="8">
        <f t="shared" si="13"/>
        <v>1.9856770833333408</v>
      </c>
    </row>
    <row r="85" spans="2:40" x14ac:dyDescent="0.35">
      <c r="B85" s="13">
        <v>44773</v>
      </c>
      <c r="C85" s="8">
        <v>943.2</v>
      </c>
      <c r="D85" s="8">
        <f t="shared" si="0"/>
        <v>68.700000000000045</v>
      </c>
      <c r="E85" s="8">
        <f t="shared" si="1"/>
        <v>7.855917667238427</v>
      </c>
      <c r="G85" s="16">
        <v>44773</v>
      </c>
      <c r="H85" s="14">
        <v>3831.65</v>
      </c>
      <c r="I85" s="8">
        <v>34.9</v>
      </c>
      <c r="J85" s="8">
        <v>0.91920721670000005</v>
      </c>
      <c r="L85" s="13">
        <v>44773</v>
      </c>
      <c r="M85" s="8">
        <v>1406.3</v>
      </c>
      <c r="N85" s="8">
        <f t="shared" si="2"/>
        <v>-98.900000000000091</v>
      </c>
      <c r="O85" s="8">
        <f t="shared" si="3"/>
        <v>-6.570555407919219</v>
      </c>
      <c r="Q85" s="13">
        <v>44773</v>
      </c>
      <c r="R85" s="8">
        <v>20015.099999999999</v>
      </c>
      <c r="S85" s="8">
        <f t="shared" si="14"/>
        <v>65.19999999999709</v>
      </c>
      <c r="T85" s="8">
        <f t="shared" si="15"/>
        <v>0.32681868079537785</v>
      </c>
      <c r="V85" s="13">
        <v>44773</v>
      </c>
      <c r="W85" s="8">
        <v>977.4</v>
      </c>
      <c r="X85" s="8">
        <f t="shared" si="6"/>
        <v>5.2999999999999545</v>
      </c>
      <c r="Y85" s="8">
        <f t="shared" si="7"/>
        <v>0.54521139800431584</v>
      </c>
      <c r="AA85" s="13">
        <v>44773</v>
      </c>
      <c r="AB85" s="8">
        <v>4090.35</v>
      </c>
      <c r="AC85" s="8">
        <f t="shared" si="8"/>
        <v>-283.15000000000009</v>
      </c>
      <c r="AD85" s="8">
        <f t="shared" si="9"/>
        <v>-6.4742197324797086</v>
      </c>
      <c r="AF85" s="13">
        <v>44773</v>
      </c>
      <c r="AG85" s="8">
        <v>2303.6</v>
      </c>
      <c r="AH85" s="8">
        <f t="shared" si="10"/>
        <v>214.09999999999991</v>
      </c>
      <c r="AI85" s="8">
        <f t="shared" si="11"/>
        <v>10.246470447475469</v>
      </c>
      <c r="AK85" s="13">
        <v>44773</v>
      </c>
      <c r="AL85" s="8">
        <v>307.2</v>
      </c>
      <c r="AM85" s="8">
        <f t="shared" si="12"/>
        <v>-20.350000000000023</v>
      </c>
      <c r="AN85" s="8">
        <f t="shared" si="13"/>
        <v>-6.2127919401618144</v>
      </c>
    </row>
    <row r="86" spans="2:40" x14ac:dyDescent="0.35">
      <c r="B86" s="13">
        <v>44766</v>
      </c>
      <c r="C86" s="8">
        <v>874.5</v>
      </c>
      <c r="D86" s="8">
        <f t="shared" si="0"/>
        <v>-3.8999999999999773</v>
      </c>
      <c r="E86" s="8">
        <f t="shared" si="1"/>
        <v>-0.44398907103824881</v>
      </c>
      <c r="G86" s="16">
        <v>44766</v>
      </c>
      <c r="H86" s="14">
        <v>3796.75</v>
      </c>
      <c r="I86" s="8">
        <v>69</v>
      </c>
      <c r="J86" s="8">
        <v>1.8509824960000001</v>
      </c>
      <c r="L86" s="13">
        <v>44766</v>
      </c>
      <c r="M86" s="8">
        <v>1505.2</v>
      </c>
      <c r="N86" s="8">
        <f t="shared" si="2"/>
        <v>-4.6499999999998636</v>
      </c>
      <c r="O86" s="8">
        <f t="shared" si="3"/>
        <v>-0.30797761367022314</v>
      </c>
      <c r="Q86" s="13">
        <v>44766</v>
      </c>
      <c r="R86" s="8">
        <v>19949.900000000001</v>
      </c>
      <c r="S86" s="8">
        <f t="shared" si="14"/>
        <v>202.95000000000073</v>
      </c>
      <c r="T86" s="8">
        <f t="shared" si="15"/>
        <v>1.0277536530957982</v>
      </c>
      <c r="V86" s="13">
        <v>44766</v>
      </c>
      <c r="W86" s="8">
        <v>972.1</v>
      </c>
      <c r="X86" s="8">
        <f t="shared" si="6"/>
        <v>6.0500000000000682</v>
      </c>
      <c r="Y86" s="8">
        <f t="shared" si="7"/>
        <v>0.62626158066353377</v>
      </c>
      <c r="AA86" s="13">
        <v>44766</v>
      </c>
      <c r="AB86" s="8">
        <v>4373.5</v>
      </c>
      <c r="AC86" s="8">
        <f t="shared" si="8"/>
        <v>-172.5</v>
      </c>
      <c r="AD86" s="8">
        <f t="shared" si="9"/>
        <v>-3.794544654641443</v>
      </c>
      <c r="AF86" s="13">
        <v>44766</v>
      </c>
      <c r="AG86" s="8">
        <v>2089.5</v>
      </c>
      <c r="AH86" s="8">
        <f t="shared" si="10"/>
        <v>123.75</v>
      </c>
      <c r="AI86" s="8">
        <f t="shared" si="11"/>
        <v>6.2953071346814191</v>
      </c>
      <c r="AK86" s="13">
        <v>44766</v>
      </c>
      <c r="AL86" s="8">
        <v>327.55</v>
      </c>
      <c r="AM86" s="8">
        <f t="shared" si="12"/>
        <v>-4.8499999999999659</v>
      </c>
      <c r="AN86" s="8">
        <f t="shared" si="13"/>
        <v>-1.4590854392298334</v>
      </c>
    </row>
    <row r="87" spans="2:40" x14ac:dyDescent="0.35">
      <c r="B87" s="13">
        <v>44759</v>
      </c>
      <c r="C87" s="8">
        <v>878.4</v>
      </c>
      <c r="D87" s="8">
        <f t="shared" si="0"/>
        <v>20.699999999999932</v>
      </c>
      <c r="E87" s="8">
        <f t="shared" si="1"/>
        <v>2.4134312696747036</v>
      </c>
      <c r="G87" s="16">
        <v>44759</v>
      </c>
      <c r="H87" s="14">
        <v>3727.75</v>
      </c>
      <c r="I87" s="8">
        <v>56.45</v>
      </c>
      <c r="J87" s="8">
        <v>1.537602484</v>
      </c>
      <c r="L87" s="13">
        <v>44759</v>
      </c>
      <c r="M87" s="8">
        <v>1509.85</v>
      </c>
      <c r="N87" s="8">
        <f t="shared" si="2"/>
        <v>15.299999999999955</v>
      </c>
      <c r="O87" s="8">
        <f t="shared" si="3"/>
        <v>1.023719514235051</v>
      </c>
      <c r="Q87" s="13">
        <v>44759</v>
      </c>
      <c r="R87" s="8">
        <v>19746.95</v>
      </c>
      <c r="S87" s="8">
        <f t="shared" si="14"/>
        <v>272.25</v>
      </c>
      <c r="T87" s="8">
        <f t="shared" si="15"/>
        <v>1.3979676195268733</v>
      </c>
      <c r="V87" s="13">
        <v>44759</v>
      </c>
      <c r="W87" s="8">
        <v>966.05</v>
      </c>
      <c r="X87" s="8">
        <f t="shared" si="6"/>
        <v>30.599999999999909</v>
      </c>
      <c r="Y87" s="8">
        <f t="shared" si="7"/>
        <v>3.2711529210540284</v>
      </c>
      <c r="AA87" s="13">
        <v>44759</v>
      </c>
      <c r="AB87" s="8">
        <v>4546</v>
      </c>
      <c r="AC87" s="8">
        <f t="shared" si="8"/>
        <v>139.80000000000018</v>
      </c>
      <c r="AD87" s="8">
        <f t="shared" si="9"/>
        <v>3.1728019608733193</v>
      </c>
      <c r="AF87" s="13">
        <v>44759</v>
      </c>
      <c r="AG87" s="8">
        <v>1965.75</v>
      </c>
      <c r="AH87" s="8">
        <f t="shared" si="10"/>
        <v>-212.30000000000018</v>
      </c>
      <c r="AI87" s="8">
        <f t="shared" si="11"/>
        <v>-9.747250981382436</v>
      </c>
      <c r="AK87" s="13">
        <v>44759</v>
      </c>
      <c r="AL87" s="8">
        <v>332.4</v>
      </c>
      <c r="AM87" s="8">
        <f t="shared" si="12"/>
        <v>9.5999999999999659</v>
      </c>
      <c r="AN87" s="8">
        <f t="shared" si="13"/>
        <v>2.9739776951672754</v>
      </c>
    </row>
    <row r="88" spans="2:40" x14ac:dyDescent="0.35">
      <c r="B88" s="13">
        <v>44752</v>
      </c>
      <c r="C88" s="8">
        <v>857.7</v>
      </c>
      <c r="D88" s="8">
        <f t="shared" si="0"/>
        <v>28.450000000000045</v>
      </c>
      <c r="E88" s="8">
        <f t="shared" si="1"/>
        <v>3.4308109737714858</v>
      </c>
      <c r="G88" s="16">
        <v>44752</v>
      </c>
      <c r="H88" s="14">
        <v>3671.3</v>
      </c>
      <c r="I88" s="8">
        <v>33.75</v>
      </c>
      <c r="J88" s="8">
        <v>0.92782229800000005</v>
      </c>
      <c r="L88" s="13">
        <v>44752</v>
      </c>
      <c r="M88" s="8">
        <v>1494.55</v>
      </c>
      <c r="N88" s="8">
        <f t="shared" si="2"/>
        <v>-6.9500000000000455</v>
      </c>
      <c r="O88" s="8">
        <f t="shared" si="3"/>
        <v>-0.4628704628704659</v>
      </c>
      <c r="Q88" s="13">
        <v>44752</v>
      </c>
      <c r="R88" s="8">
        <v>19474.7</v>
      </c>
      <c r="S88" s="8">
        <f t="shared" si="14"/>
        <v>374.29999999999927</v>
      </c>
      <c r="T88" s="8">
        <f t="shared" si="15"/>
        <v>1.9596448241921596</v>
      </c>
      <c r="V88" s="13">
        <v>44752</v>
      </c>
      <c r="W88" s="8">
        <v>935.45</v>
      </c>
      <c r="X88" s="8">
        <f t="shared" si="6"/>
        <v>-13.849999999999909</v>
      </c>
      <c r="Y88" s="8">
        <f t="shared" si="7"/>
        <v>-1.4589697671968724</v>
      </c>
      <c r="AA88" s="13">
        <v>44752</v>
      </c>
      <c r="AB88" s="8">
        <v>4406.2</v>
      </c>
      <c r="AC88" s="8">
        <f t="shared" si="8"/>
        <v>20.300000000000182</v>
      </c>
      <c r="AD88" s="8">
        <f t="shared" si="9"/>
        <v>0.46284685013338617</v>
      </c>
      <c r="AF88" s="13">
        <v>44752</v>
      </c>
      <c r="AG88" s="8">
        <v>2178.0500000000002</v>
      </c>
      <c r="AH88" s="8">
        <f t="shared" si="10"/>
        <v>-61.199999999999818</v>
      </c>
      <c r="AI88" s="8">
        <f t="shared" si="11"/>
        <v>-2.733057943507863</v>
      </c>
      <c r="AK88" s="13">
        <v>44752</v>
      </c>
      <c r="AL88" s="8">
        <v>322.8</v>
      </c>
      <c r="AM88" s="8">
        <f t="shared" si="12"/>
        <v>11.25</v>
      </c>
      <c r="AN88" s="8">
        <f t="shared" si="13"/>
        <v>3.6109773712084738</v>
      </c>
    </row>
    <row r="89" spans="2:40" x14ac:dyDescent="0.35">
      <c r="B89" s="13">
        <v>44745</v>
      </c>
      <c r="C89" s="8">
        <v>829.25</v>
      </c>
      <c r="D89" s="8">
        <f t="shared" si="0"/>
        <v>4.6499999999999773</v>
      </c>
      <c r="E89" s="8">
        <f t="shared" si="1"/>
        <v>0.56390977443608747</v>
      </c>
      <c r="G89" s="16">
        <v>44745</v>
      </c>
      <c r="H89" s="14">
        <v>3637.55</v>
      </c>
      <c r="I89" s="8">
        <v>-43.45</v>
      </c>
      <c r="J89" s="8">
        <v>-1.180385765</v>
      </c>
      <c r="L89" s="13">
        <v>44745</v>
      </c>
      <c r="M89" s="8">
        <v>1501.5</v>
      </c>
      <c r="N89" s="8">
        <f t="shared" si="2"/>
        <v>1.7000000000000455</v>
      </c>
      <c r="O89" s="8">
        <f t="shared" si="3"/>
        <v>0.11334844645953097</v>
      </c>
      <c r="Q89" s="13">
        <v>44745</v>
      </c>
      <c r="R89" s="8">
        <v>19100.400000000001</v>
      </c>
      <c r="S89" s="8">
        <f t="shared" si="14"/>
        <v>1041.9500000000007</v>
      </c>
      <c r="T89" s="8">
        <f t="shared" si="15"/>
        <v>5.7698750446466924</v>
      </c>
      <c r="V89" s="13">
        <v>44745</v>
      </c>
      <c r="W89" s="8">
        <v>949.3</v>
      </c>
      <c r="X89" s="8">
        <f t="shared" si="6"/>
        <v>15.599999999999909</v>
      </c>
      <c r="Y89" s="8">
        <f t="shared" si="7"/>
        <v>1.6707721966370257</v>
      </c>
      <c r="AA89" s="13">
        <v>44745</v>
      </c>
      <c r="AB89" s="8">
        <v>4385.8999999999996</v>
      </c>
      <c r="AC89" s="8">
        <f t="shared" si="8"/>
        <v>76.25</v>
      </c>
      <c r="AD89" s="8">
        <f t="shared" si="9"/>
        <v>1.7692852087756548</v>
      </c>
      <c r="AF89" s="13">
        <v>44745</v>
      </c>
      <c r="AG89" s="8">
        <v>2239.25</v>
      </c>
      <c r="AH89" s="8">
        <f t="shared" si="10"/>
        <v>208.40000000000009</v>
      </c>
      <c r="AI89" s="8">
        <f t="shared" si="11"/>
        <v>10.261713075805702</v>
      </c>
      <c r="AK89" s="13">
        <v>44745</v>
      </c>
      <c r="AL89" s="8">
        <v>311.55</v>
      </c>
      <c r="AM89" s="8">
        <f t="shared" si="12"/>
        <v>-15.399999999999977</v>
      </c>
      <c r="AN89" s="8">
        <f t="shared" si="13"/>
        <v>-4.7102003364428739</v>
      </c>
    </row>
    <row r="90" spans="2:40" x14ac:dyDescent="0.35">
      <c r="B90" s="13">
        <v>44738</v>
      </c>
      <c r="C90" s="8">
        <v>824.6</v>
      </c>
      <c r="D90" s="8">
        <f t="shared" si="0"/>
        <v>31.200000000000045</v>
      </c>
      <c r="E90" s="8">
        <f t="shared" si="1"/>
        <v>3.9324426518779991</v>
      </c>
      <c r="G90" s="16">
        <v>44738</v>
      </c>
      <c r="H90" s="14">
        <v>3681</v>
      </c>
      <c r="I90" s="8">
        <v>199.05</v>
      </c>
      <c r="J90" s="8">
        <v>5.7166243049999999</v>
      </c>
      <c r="L90" s="13">
        <v>44738</v>
      </c>
      <c r="M90" s="8">
        <v>1499.8</v>
      </c>
      <c r="N90" s="8">
        <f t="shared" si="2"/>
        <v>-21.049999999999955</v>
      </c>
      <c r="O90" s="8">
        <f t="shared" si="3"/>
        <v>-1.3840944208830559</v>
      </c>
      <c r="Q90" s="13">
        <v>44738</v>
      </c>
      <c r="R90" s="8">
        <v>18058.45</v>
      </c>
      <c r="S90" s="8">
        <f t="shared" si="14"/>
        <v>148.29999999999927</v>
      </c>
      <c r="T90" s="8">
        <f t="shared" si="15"/>
        <v>0.82802209920072845</v>
      </c>
      <c r="V90" s="13">
        <v>44738</v>
      </c>
      <c r="W90" s="8">
        <v>933.7</v>
      </c>
      <c r="X90" s="8">
        <f t="shared" si="6"/>
        <v>18.950000000000045</v>
      </c>
      <c r="Y90" s="8">
        <f t="shared" si="7"/>
        <v>2.0716042634599665</v>
      </c>
      <c r="AA90" s="13">
        <v>44738</v>
      </c>
      <c r="AB90" s="8">
        <v>4309.6499999999996</v>
      </c>
      <c r="AC90" s="8">
        <f t="shared" si="8"/>
        <v>162.94999999999982</v>
      </c>
      <c r="AD90" s="8">
        <f t="shared" si="9"/>
        <v>3.9296307907492665</v>
      </c>
      <c r="AF90" s="13">
        <v>44738</v>
      </c>
      <c r="AG90" s="8">
        <v>2030.85</v>
      </c>
      <c r="AH90" s="8">
        <f t="shared" si="10"/>
        <v>55.849999999999909</v>
      </c>
      <c r="AI90" s="8">
        <f t="shared" si="11"/>
        <v>2.8278481012658183</v>
      </c>
      <c r="AK90" s="13">
        <v>44738</v>
      </c>
      <c r="AL90" s="8">
        <v>326.95</v>
      </c>
      <c r="AM90" s="8">
        <f t="shared" si="12"/>
        <v>12.849999999999966</v>
      </c>
      <c r="AN90" s="8">
        <f t="shared" si="13"/>
        <v>4.0910538045208424</v>
      </c>
    </row>
    <row r="91" spans="2:40" x14ac:dyDescent="0.35">
      <c r="B91" s="13">
        <v>44731</v>
      </c>
      <c r="C91" s="8">
        <v>793.4</v>
      </c>
      <c r="D91" s="8">
        <f t="shared" si="0"/>
        <v>-52.300000000000068</v>
      </c>
      <c r="E91" s="8">
        <f t="shared" si="1"/>
        <v>-6.1842260849000912</v>
      </c>
      <c r="G91" s="16">
        <v>44731</v>
      </c>
      <c r="H91" s="14">
        <v>3481.95</v>
      </c>
      <c r="I91" s="8">
        <v>-46.1</v>
      </c>
      <c r="J91" s="8">
        <v>-1.306670824</v>
      </c>
      <c r="L91" s="13">
        <v>44731</v>
      </c>
      <c r="M91" s="8">
        <v>1520.85</v>
      </c>
      <c r="N91" s="8">
        <f t="shared" si="2"/>
        <v>-26.400000000000091</v>
      </c>
      <c r="O91" s="8">
        <f t="shared" si="3"/>
        <v>-1.7062530295685954</v>
      </c>
      <c r="Q91" s="13">
        <v>44731</v>
      </c>
      <c r="R91" s="8">
        <v>17910.150000000001</v>
      </c>
      <c r="S91" s="8">
        <f t="shared" si="14"/>
        <v>-281.29999999999927</v>
      </c>
      <c r="T91" s="8">
        <f t="shared" si="15"/>
        <v>-1.5463308312421453</v>
      </c>
      <c r="V91" s="13">
        <v>44731</v>
      </c>
      <c r="W91" s="8">
        <v>914.75</v>
      </c>
      <c r="X91" s="8">
        <f t="shared" si="6"/>
        <v>-52.049999999999955</v>
      </c>
      <c r="Y91" s="8">
        <f t="shared" si="7"/>
        <v>-5.3837401737691311</v>
      </c>
      <c r="AA91" s="13">
        <v>44731</v>
      </c>
      <c r="AB91" s="8">
        <v>4146.7</v>
      </c>
      <c r="AC91" s="8">
        <f t="shared" si="8"/>
        <v>-204.85000000000036</v>
      </c>
      <c r="AD91" s="8">
        <f t="shared" si="9"/>
        <v>-4.7075180108237378</v>
      </c>
      <c r="AF91" s="13">
        <v>44731</v>
      </c>
      <c r="AG91" s="8">
        <v>1975</v>
      </c>
      <c r="AH91" s="8">
        <f t="shared" si="10"/>
        <v>-102.40000000000009</v>
      </c>
      <c r="AI91" s="8">
        <f t="shared" si="11"/>
        <v>-4.9292384711658848</v>
      </c>
      <c r="AK91" s="13">
        <v>44731</v>
      </c>
      <c r="AL91" s="8">
        <v>314.10000000000002</v>
      </c>
      <c r="AM91" s="8">
        <f t="shared" si="12"/>
        <v>-24.899999999999977</v>
      </c>
      <c r="AN91" s="8">
        <f t="shared" si="13"/>
        <v>-7.3451327433628251</v>
      </c>
    </row>
    <row r="92" spans="2:40" x14ac:dyDescent="0.35">
      <c r="B92" s="13">
        <v>44724</v>
      </c>
      <c r="C92" s="8">
        <v>845.7</v>
      </c>
      <c r="D92" s="8">
        <f t="shared" si="0"/>
        <v>-19.399999999999977</v>
      </c>
      <c r="E92" s="8">
        <f t="shared" si="1"/>
        <v>-2.2425153161484195</v>
      </c>
      <c r="G92" s="16">
        <v>44724</v>
      </c>
      <c r="H92" s="14">
        <v>3528.05</v>
      </c>
      <c r="I92" s="8">
        <v>49.75</v>
      </c>
      <c r="J92" s="8">
        <v>1.4302964090000001</v>
      </c>
      <c r="L92" s="13">
        <v>44724</v>
      </c>
      <c r="M92" s="8">
        <v>1547.25</v>
      </c>
      <c r="N92" s="8">
        <f t="shared" si="2"/>
        <v>46.950000000000045</v>
      </c>
      <c r="O92" s="8">
        <f t="shared" si="3"/>
        <v>3.129374125174968</v>
      </c>
      <c r="Q92" s="13">
        <v>44724</v>
      </c>
      <c r="R92" s="8">
        <v>18191.45</v>
      </c>
      <c r="S92" s="8">
        <f t="shared" si="14"/>
        <v>362.85000000000218</v>
      </c>
      <c r="T92" s="8">
        <f t="shared" si="15"/>
        <v>2.0352130845944281</v>
      </c>
      <c r="V92" s="13">
        <v>44724</v>
      </c>
      <c r="W92" s="8">
        <v>966.8</v>
      </c>
      <c r="X92" s="8">
        <f t="shared" si="6"/>
        <v>5.8499999999999091</v>
      </c>
      <c r="Y92" s="8">
        <f t="shared" si="7"/>
        <v>0.60877256881210351</v>
      </c>
      <c r="AA92" s="13">
        <v>44724</v>
      </c>
      <c r="AB92" s="8">
        <v>4351.55</v>
      </c>
      <c r="AC92" s="8">
        <f t="shared" si="8"/>
        <v>11.550000000000182</v>
      </c>
      <c r="AD92" s="8">
        <f t="shared" si="9"/>
        <v>0.26612903225806872</v>
      </c>
      <c r="AF92" s="13">
        <v>44724</v>
      </c>
      <c r="AG92" s="8">
        <v>2077.4</v>
      </c>
      <c r="AH92" s="8">
        <f t="shared" si="10"/>
        <v>-67.199999999999818</v>
      </c>
      <c r="AI92" s="8">
        <f t="shared" si="11"/>
        <v>-3.1334514594796148</v>
      </c>
      <c r="AK92" s="13">
        <v>44724</v>
      </c>
      <c r="AL92" s="8">
        <v>339</v>
      </c>
      <c r="AM92" s="8">
        <f t="shared" si="12"/>
        <v>18.699999999999989</v>
      </c>
      <c r="AN92" s="8">
        <f t="shared" si="13"/>
        <v>5.838276615672803</v>
      </c>
    </row>
    <row r="93" spans="2:40" x14ac:dyDescent="0.35">
      <c r="B93" s="13">
        <v>44717</v>
      </c>
      <c r="C93" s="8">
        <v>865.1</v>
      </c>
      <c r="D93" s="8">
        <f t="shared" si="0"/>
        <v>-38.799999999999955</v>
      </c>
      <c r="E93" s="8">
        <f t="shared" si="1"/>
        <v>-4.2925102334328971</v>
      </c>
      <c r="G93" s="16">
        <v>44717</v>
      </c>
      <c r="H93" s="14">
        <v>3478.3</v>
      </c>
      <c r="I93" s="8">
        <v>-36.4</v>
      </c>
      <c r="J93" s="8">
        <v>-1.035650269</v>
      </c>
      <c r="L93" s="13">
        <v>44717</v>
      </c>
      <c r="M93" s="8">
        <v>1500.3</v>
      </c>
      <c r="N93" s="8">
        <f t="shared" si="2"/>
        <v>-16.900000000000091</v>
      </c>
      <c r="O93" s="8">
        <f t="shared" si="3"/>
        <v>-1.1138940152913321</v>
      </c>
      <c r="Q93" s="13">
        <v>44717</v>
      </c>
      <c r="R93" s="8">
        <v>17828.599999999999</v>
      </c>
      <c r="S93" s="8">
        <f t="shared" si="14"/>
        <v>-109.95000000000073</v>
      </c>
      <c r="T93" s="8">
        <f t="shared" si="15"/>
        <v>-0.6129257938908147</v>
      </c>
      <c r="V93" s="13">
        <v>44717</v>
      </c>
      <c r="W93" s="8">
        <v>960.95</v>
      </c>
      <c r="X93" s="8">
        <f t="shared" si="6"/>
        <v>-5.3999999999999773</v>
      </c>
      <c r="Y93" s="8">
        <f t="shared" si="7"/>
        <v>-0.5588037460547397</v>
      </c>
      <c r="AA93" s="13">
        <v>44717</v>
      </c>
      <c r="AB93" s="8">
        <v>4340</v>
      </c>
      <c r="AC93" s="8">
        <f t="shared" si="8"/>
        <v>-50.5</v>
      </c>
      <c r="AD93" s="8">
        <f t="shared" si="9"/>
        <v>-1.1502106821546521</v>
      </c>
      <c r="AF93" s="13">
        <v>44717</v>
      </c>
      <c r="AG93" s="8">
        <v>2144.6</v>
      </c>
      <c r="AH93" s="8">
        <f t="shared" si="10"/>
        <v>-59.900000000000091</v>
      </c>
      <c r="AI93" s="8">
        <f t="shared" si="11"/>
        <v>-2.7171694261737396</v>
      </c>
      <c r="AK93" s="13">
        <v>44717</v>
      </c>
      <c r="AL93" s="8">
        <v>320.3</v>
      </c>
      <c r="AM93" s="8">
        <f t="shared" si="12"/>
        <v>-12.699999999999989</v>
      </c>
      <c r="AN93" s="8">
        <f t="shared" si="13"/>
        <v>-3.8138138138138102</v>
      </c>
    </row>
    <row r="94" spans="2:40" x14ac:dyDescent="0.35">
      <c r="B94" s="13">
        <v>44710</v>
      </c>
      <c r="C94" s="8">
        <v>903.9</v>
      </c>
      <c r="D94" s="8">
        <f t="shared" si="0"/>
        <v>-11.75</v>
      </c>
      <c r="E94" s="8">
        <f t="shared" si="1"/>
        <v>-1.2832414132037351</v>
      </c>
      <c r="G94" s="16">
        <v>44710</v>
      </c>
      <c r="H94" s="14">
        <v>3514.7</v>
      </c>
      <c r="I94" s="8">
        <v>-790.1</v>
      </c>
      <c r="J94" s="8">
        <v>-18.353930500000001</v>
      </c>
      <c r="L94" s="13">
        <v>44710</v>
      </c>
      <c r="M94" s="8">
        <v>1517.2</v>
      </c>
      <c r="N94" s="8">
        <f t="shared" si="2"/>
        <v>-25.099999999999909</v>
      </c>
      <c r="O94" s="8">
        <f t="shared" si="3"/>
        <v>-1.6274395383518063</v>
      </c>
      <c r="Q94" s="13">
        <v>44710</v>
      </c>
      <c r="R94" s="8">
        <v>17938.55</v>
      </c>
      <c r="S94" s="8">
        <f t="shared" si="14"/>
        <v>-11.900000000001455</v>
      </c>
      <c r="T94" s="8">
        <f t="shared" si="15"/>
        <v>-6.629360266735071E-2</v>
      </c>
      <c r="V94" s="13">
        <v>44710</v>
      </c>
      <c r="W94" s="8">
        <v>966.35</v>
      </c>
      <c r="X94" s="8">
        <f t="shared" si="6"/>
        <v>-12.049999999999955</v>
      </c>
      <c r="Y94" s="8">
        <f t="shared" si="7"/>
        <v>-1.2316026165167575</v>
      </c>
      <c r="AA94" s="13">
        <v>44710</v>
      </c>
      <c r="AB94" s="8">
        <v>4390.5</v>
      </c>
      <c r="AC94" s="8">
        <f t="shared" si="8"/>
        <v>141.39999999999964</v>
      </c>
      <c r="AD94" s="8">
        <f t="shared" si="9"/>
        <v>3.3277635263938157</v>
      </c>
      <c r="AF94" s="13">
        <v>44710</v>
      </c>
      <c r="AG94" s="8">
        <v>2204.5</v>
      </c>
      <c r="AH94" s="8">
        <f t="shared" si="10"/>
        <v>241.25</v>
      </c>
      <c r="AI94" s="8">
        <f t="shared" si="11"/>
        <v>12.288297465936585</v>
      </c>
      <c r="AK94" s="13">
        <v>44710</v>
      </c>
      <c r="AL94" s="8">
        <v>333</v>
      </c>
      <c r="AM94" s="8">
        <f t="shared" si="12"/>
        <v>-7</v>
      </c>
      <c r="AN94" s="8">
        <f t="shared" si="13"/>
        <v>-2.0588235294117645</v>
      </c>
    </row>
    <row r="95" spans="2:40" x14ac:dyDescent="0.35">
      <c r="B95" s="13">
        <v>44703</v>
      </c>
      <c r="C95" s="8">
        <v>915.65</v>
      </c>
      <c r="D95" s="8">
        <f t="shared" si="0"/>
        <v>33.149999999999977</v>
      </c>
      <c r="E95" s="8">
        <f t="shared" si="1"/>
        <v>3.7563739376770511</v>
      </c>
      <c r="G95" s="16">
        <v>44703</v>
      </c>
      <c r="H95" s="14">
        <v>4304.8</v>
      </c>
      <c r="I95" s="8">
        <v>23.7</v>
      </c>
      <c r="J95" s="8">
        <v>0.55359603840000005</v>
      </c>
      <c r="L95" s="13">
        <v>44703</v>
      </c>
      <c r="M95" s="8">
        <v>1542.3</v>
      </c>
      <c r="N95" s="8">
        <f t="shared" si="2"/>
        <v>49</v>
      </c>
      <c r="O95" s="8">
        <f t="shared" si="3"/>
        <v>3.2813232438224067</v>
      </c>
      <c r="Q95" s="13">
        <v>44703</v>
      </c>
      <c r="R95" s="8">
        <v>17950.45</v>
      </c>
      <c r="S95" s="8">
        <f t="shared" si="14"/>
        <v>1405.7999999999993</v>
      </c>
      <c r="T95" s="8">
        <f t="shared" si="15"/>
        <v>8.49700658521032</v>
      </c>
      <c r="V95" s="13">
        <v>44703</v>
      </c>
      <c r="W95" s="8">
        <v>978.4</v>
      </c>
      <c r="X95" s="8">
        <f t="shared" si="6"/>
        <v>43.799999999999955</v>
      </c>
      <c r="Y95" s="8">
        <f t="shared" si="7"/>
        <v>4.6864968970682597</v>
      </c>
      <c r="AA95" s="13">
        <v>44703</v>
      </c>
      <c r="AB95" s="8">
        <v>4249.1000000000004</v>
      </c>
      <c r="AC95" s="8">
        <f t="shared" si="8"/>
        <v>324.80000000000018</v>
      </c>
      <c r="AD95" s="8">
        <f t="shared" si="9"/>
        <v>8.2766353234971888</v>
      </c>
      <c r="AF95" s="13">
        <v>44703</v>
      </c>
      <c r="AG95" s="8">
        <v>1963.25</v>
      </c>
      <c r="AH95" s="8">
        <f t="shared" si="10"/>
        <v>-322</v>
      </c>
      <c r="AI95" s="8">
        <f t="shared" si="11"/>
        <v>-14.090362104802537</v>
      </c>
      <c r="AK95" s="13">
        <v>44703</v>
      </c>
      <c r="AL95" s="8">
        <v>340</v>
      </c>
      <c r="AM95" s="8">
        <f t="shared" si="12"/>
        <v>13.850000000000023</v>
      </c>
      <c r="AN95" s="8">
        <f t="shared" si="13"/>
        <v>4.2465123409474241</v>
      </c>
    </row>
    <row r="96" spans="2:40" x14ac:dyDescent="0.35">
      <c r="B96" s="13">
        <v>44696</v>
      </c>
      <c r="C96" s="8">
        <v>882.5</v>
      </c>
      <c r="D96" s="8">
        <f t="shared" si="0"/>
        <v>-0.79999999999995453</v>
      </c>
      <c r="E96" s="8">
        <f t="shared" si="1"/>
        <v>-9.0569455451143963E-2</v>
      </c>
      <c r="G96" s="16">
        <v>44696</v>
      </c>
      <c r="H96" s="14">
        <v>4281.1000000000004</v>
      </c>
      <c r="I96" s="8">
        <v>115.25</v>
      </c>
      <c r="J96" s="8">
        <v>2.7665422419999999</v>
      </c>
      <c r="L96" s="13">
        <v>44696</v>
      </c>
      <c r="M96" s="8">
        <v>1493.3</v>
      </c>
      <c r="N96" s="8">
        <f t="shared" si="2"/>
        <v>-32.950000000000045</v>
      </c>
      <c r="O96" s="8">
        <f t="shared" si="3"/>
        <v>-2.1588861588861619</v>
      </c>
      <c r="Q96" s="13">
        <v>44696</v>
      </c>
      <c r="R96" s="8">
        <v>16544.650000000001</v>
      </c>
      <c r="S96" s="8">
        <f t="shared" si="14"/>
        <v>-439.64999999999782</v>
      </c>
      <c r="T96" s="8">
        <f t="shared" si="15"/>
        <v>-2.5885670884287126</v>
      </c>
      <c r="V96" s="13">
        <v>44696</v>
      </c>
      <c r="W96" s="8">
        <v>934.6</v>
      </c>
      <c r="X96" s="8">
        <f t="shared" si="6"/>
        <v>-0.14999999999997726</v>
      </c>
      <c r="Y96" s="8">
        <f t="shared" si="7"/>
        <v>-1.604707140946534E-2</v>
      </c>
      <c r="AA96" s="13">
        <v>44696</v>
      </c>
      <c r="AB96" s="8">
        <v>3924.3</v>
      </c>
      <c r="AC96" s="8">
        <f t="shared" si="8"/>
        <v>-6.3499999999999091</v>
      </c>
      <c r="AD96" s="8">
        <f t="shared" si="9"/>
        <v>-0.16155088852988458</v>
      </c>
      <c r="AF96" s="13">
        <v>44696</v>
      </c>
      <c r="AG96" s="8">
        <v>2285.25</v>
      </c>
      <c r="AH96" s="8">
        <f t="shared" si="10"/>
        <v>-95</v>
      </c>
      <c r="AI96" s="8">
        <f t="shared" si="11"/>
        <v>-3.9911773973322129</v>
      </c>
      <c r="AK96" s="13">
        <v>44696</v>
      </c>
      <c r="AL96" s="8">
        <v>326.14999999999998</v>
      </c>
      <c r="AM96" s="8">
        <f t="shared" si="12"/>
        <v>-21.850000000000023</v>
      </c>
      <c r="AN96" s="8">
        <f t="shared" si="13"/>
        <v>-6.2787356321839143</v>
      </c>
    </row>
    <row r="97" spans="2:40" x14ac:dyDescent="0.35">
      <c r="B97" s="13">
        <v>44689</v>
      </c>
      <c r="C97" s="8">
        <v>883.3</v>
      </c>
      <c r="D97" s="8">
        <f t="shared" si="0"/>
        <v>-45.350000000000023</v>
      </c>
      <c r="E97" s="8">
        <f t="shared" si="1"/>
        <v>-4.8834329402896701</v>
      </c>
      <c r="G97" s="16">
        <v>44689</v>
      </c>
      <c r="H97" s="14">
        <v>4165.8500000000004</v>
      </c>
      <c r="I97" s="8">
        <v>-339.55</v>
      </c>
      <c r="J97" s="8">
        <v>-7.536511741</v>
      </c>
      <c r="L97" s="13">
        <v>44689</v>
      </c>
      <c r="M97" s="8">
        <v>1526.25</v>
      </c>
      <c r="N97" s="8">
        <f t="shared" si="2"/>
        <v>-44.799999999999955</v>
      </c>
      <c r="O97" s="8">
        <f t="shared" si="3"/>
        <v>-2.8515960663250666</v>
      </c>
      <c r="Q97" s="13">
        <v>44689</v>
      </c>
      <c r="R97" s="8">
        <v>16984.3</v>
      </c>
      <c r="S97" s="8">
        <f t="shared" si="14"/>
        <v>-95.450000000000728</v>
      </c>
      <c r="T97" s="8">
        <f t="shared" si="15"/>
        <v>-0.55884892928761087</v>
      </c>
      <c r="V97" s="13">
        <v>44689</v>
      </c>
      <c r="W97" s="8">
        <v>934.75</v>
      </c>
      <c r="X97" s="8">
        <f t="shared" si="6"/>
        <v>-46.450000000000045</v>
      </c>
      <c r="Y97" s="8">
        <f t="shared" si="7"/>
        <v>-4.733999184671835</v>
      </c>
      <c r="AA97" s="13">
        <v>44689</v>
      </c>
      <c r="AB97" s="8">
        <v>3930.65</v>
      </c>
      <c r="AC97" s="8">
        <f t="shared" si="8"/>
        <v>-201.29999999999973</v>
      </c>
      <c r="AD97" s="8">
        <f t="shared" si="9"/>
        <v>-4.8717917690194632</v>
      </c>
      <c r="AF97" s="13">
        <v>44689</v>
      </c>
      <c r="AG97" s="8">
        <v>2380.25</v>
      </c>
      <c r="AH97" s="8">
        <f t="shared" si="10"/>
        <v>-219.75</v>
      </c>
      <c r="AI97" s="8">
        <f t="shared" si="11"/>
        <v>-8.4519230769230766</v>
      </c>
      <c r="AK97" s="13">
        <v>44689</v>
      </c>
      <c r="AL97" s="8">
        <v>348</v>
      </c>
      <c r="AM97" s="8">
        <f t="shared" si="12"/>
        <v>-20.449999999999989</v>
      </c>
      <c r="AN97" s="8">
        <f t="shared" si="13"/>
        <v>-5.5502781924277347</v>
      </c>
    </row>
    <row r="98" spans="2:40" x14ac:dyDescent="0.35">
      <c r="B98" s="13">
        <v>44682</v>
      </c>
      <c r="C98" s="8">
        <v>928.65</v>
      </c>
      <c r="D98" s="8">
        <f t="shared" si="0"/>
        <v>3.8500000000000227</v>
      </c>
      <c r="E98" s="8">
        <f t="shared" si="1"/>
        <v>0.4163062283737049</v>
      </c>
      <c r="G98" s="16">
        <v>44682</v>
      </c>
      <c r="H98" s="14">
        <v>4505.3999999999996</v>
      </c>
      <c r="I98" s="8">
        <v>12.9</v>
      </c>
      <c r="J98" s="8">
        <v>0.28714524209999998</v>
      </c>
      <c r="L98" s="13">
        <v>44682</v>
      </c>
      <c r="M98" s="8">
        <v>1571.05</v>
      </c>
      <c r="N98" s="8">
        <f t="shared" si="2"/>
        <v>-28.450000000000045</v>
      </c>
      <c r="O98" s="8">
        <f t="shared" si="3"/>
        <v>-1.7786808377618033</v>
      </c>
      <c r="Q98" s="13">
        <v>44682</v>
      </c>
      <c r="R98" s="8">
        <v>17079.75</v>
      </c>
      <c r="S98" s="8">
        <f t="shared" si="14"/>
        <v>-493.95000000000073</v>
      </c>
      <c r="T98" s="8">
        <f t="shared" si="15"/>
        <v>-2.8107342221615297</v>
      </c>
      <c r="V98" s="13">
        <v>44682</v>
      </c>
      <c r="W98" s="8">
        <v>981.2</v>
      </c>
      <c r="X98" s="8">
        <f t="shared" si="6"/>
        <v>14.200000000000045</v>
      </c>
      <c r="Y98" s="8">
        <f t="shared" si="7"/>
        <v>1.4684591520165506</v>
      </c>
      <c r="AA98" s="13">
        <v>44682</v>
      </c>
      <c r="AB98" s="8">
        <v>4131.95</v>
      </c>
      <c r="AC98" s="8">
        <f t="shared" si="8"/>
        <v>-60.800000000000182</v>
      </c>
      <c r="AD98" s="8">
        <f t="shared" si="9"/>
        <v>-1.4501222348100933</v>
      </c>
      <c r="AF98" s="13">
        <v>44682</v>
      </c>
      <c r="AG98" s="8">
        <v>2600</v>
      </c>
      <c r="AH98" s="8">
        <f t="shared" si="10"/>
        <v>-135.80000000000018</v>
      </c>
      <c r="AI98" s="8">
        <f t="shared" si="11"/>
        <v>-4.9638131442356963</v>
      </c>
      <c r="AK98" s="13">
        <v>44682</v>
      </c>
      <c r="AL98" s="8">
        <v>368.45</v>
      </c>
      <c r="AM98" s="8">
        <f t="shared" si="12"/>
        <v>-7.1000000000000227</v>
      </c>
      <c r="AN98" s="8">
        <f t="shared" si="13"/>
        <v>-1.8905605112501724</v>
      </c>
    </row>
    <row r="99" spans="2:40" x14ac:dyDescent="0.35">
      <c r="B99" s="13">
        <v>44675</v>
      </c>
      <c r="C99" s="8">
        <v>924.8</v>
      </c>
      <c r="D99" s="8">
        <f t="shared" si="0"/>
        <v>-11.950000000000045</v>
      </c>
      <c r="E99" s="8">
        <f t="shared" si="1"/>
        <v>-1.2756872164398234</v>
      </c>
      <c r="G99" s="16">
        <v>44675</v>
      </c>
      <c r="H99" s="14">
        <v>4492.5</v>
      </c>
      <c r="I99" s="8">
        <v>-6.75</v>
      </c>
      <c r="J99" s="8">
        <v>-0.15002500420000001</v>
      </c>
      <c r="L99" s="13">
        <v>44675</v>
      </c>
      <c r="M99" s="8">
        <v>1599.5</v>
      </c>
      <c r="N99" s="8">
        <f t="shared" si="2"/>
        <v>-48.950000000000045</v>
      </c>
      <c r="O99" s="8">
        <f t="shared" si="3"/>
        <v>-2.9694561557827077</v>
      </c>
      <c r="Q99" s="13">
        <v>44675</v>
      </c>
      <c r="R99" s="8">
        <v>17573.7</v>
      </c>
      <c r="S99" s="8">
        <f t="shared" si="14"/>
        <v>-231.34999999999854</v>
      </c>
      <c r="T99" s="8">
        <f t="shared" si="15"/>
        <v>-1.2993504651770063</v>
      </c>
      <c r="V99" s="13">
        <v>44675</v>
      </c>
      <c r="W99" s="8">
        <v>967</v>
      </c>
      <c r="X99" s="8">
        <f t="shared" si="6"/>
        <v>-49.600000000000023</v>
      </c>
      <c r="Y99" s="8">
        <f t="shared" si="7"/>
        <v>-4.8790084595711214</v>
      </c>
      <c r="AA99" s="13">
        <v>44675</v>
      </c>
      <c r="AB99" s="8">
        <v>4192.75</v>
      </c>
      <c r="AC99" s="8">
        <f t="shared" si="8"/>
        <v>-106.44999999999982</v>
      </c>
      <c r="AD99" s="8">
        <f t="shared" si="9"/>
        <v>-2.4760420543356862</v>
      </c>
      <c r="AF99" s="13">
        <v>44675</v>
      </c>
      <c r="AG99" s="8">
        <v>2735.8</v>
      </c>
      <c r="AH99" s="8">
        <f t="shared" si="10"/>
        <v>42</v>
      </c>
      <c r="AI99" s="8">
        <f t="shared" si="11"/>
        <v>1.5591357933031404</v>
      </c>
      <c r="AK99" s="13">
        <v>44675</v>
      </c>
      <c r="AL99" s="8">
        <v>375.55</v>
      </c>
      <c r="AM99" s="8">
        <f t="shared" si="12"/>
        <v>24.850000000000023</v>
      </c>
      <c r="AN99" s="8">
        <f t="shared" si="13"/>
        <v>7.0858283433133797</v>
      </c>
    </row>
    <row r="100" spans="2:40" x14ac:dyDescent="0.35">
      <c r="B100" s="13">
        <v>44668</v>
      </c>
      <c r="C100" s="8">
        <v>936.75</v>
      </c>
      <c r="D100" s="8">
        <f t="shared" si="0"/>
        <v>12.149999999999977</v>
      </c>
      <c r="E100" s="8">
        <f t="shared" si="1"/>
        <v>1.3140817650876029</v>
      </c>
      <c r="G100" s="16">
        <v>44668</v>
      </c>
      <c r="H100" s="14">
        <v>4499.25</v>
      </c>
      <c r="I100" s="8">
        <v>-6.7</v>
      </c>
      <c r="J100" s="8">
        <v>-0.1486922846</v>
      </c>
      <c r="L100" s="13">
        <v>44668</v>
      </c>
      <c r="M100" s="8">
        <v>1648.45</v>
      </c>
      <c r="N100" s="8">
        <f t="shared" si="2"/>
        <v>32.400000000000091</v>
      </c>
      <c r="O100" s="8">
        <f t="shared" si="3"/>
        <v>2.0048884626094545</v>
      </c>
      <c r="Q100" s="13">
        <v>44668</v>
      </c>
      <c r="R100" s="8">
        <v>17805.05</v>
      </c>
      <c r="S100" s="8">
        <f t="shared" si="14"/>
        <v>-193.95000000000073</v>
      </c>
      <c r="T100" s="8">
        <f t="shared" si="15"/>
        <v>-1.0775598644369173</v>
      </c>
      <c r="V100" s="13">
        <v>44668</v>
      </c>
      <c r="W100" s="8">
        <v>1016.6</v>
      </c>
      <c r="X100" s="8">
        <f t="shared" si="6"/>
        <v>5</v>
      </c>
      <c r="Y100" s="8">
        <f t="shared" si="7"/>
        <v>0.49426650850138393</v>
      </c>
      <c r="AA100" s="13">
        <v>44668</v>
      </c>
      <c r="AB100" s="8">
        <v>4299.2</v>
      </c>
      <c r="AC100" s="8">
        <f t="shared" si="8"/>
        <v>-131.15000000000055</v>
      </c>
      <c r="AD100" s="8">
        <f t="shared" si="9"/>
        <v>-2.9602627331926494</v>
      </c>
      <c r="AF100" s="13">
        <v>44668</v>
      </c>
      <c r="AG100" s="8">
        <v>2693.8</v>
      </c>
      <c r="AH100" s="8">
        <f t="shared" si="10"/>
        <v>-109.94999999999982</v>
      </c>
      <c r="AI100" s="8">
        <f t="shared" si="11"/>
        <v>-3.9215336602764088</v>
      </c>
      <c r="AK100" s="13">
        <v>44668</v>
      </c>
      <c r="AL100" s="8">
        <v>350.7</v>
      </c>
      <c r="AM100" s="8">
        <f t="shared" si="12"/>
        <v>-4.3000000000000114</v>
      </c>
      <c r="AN100" s="8">
        <f t="shared" si="13"/>
        <v>-1.2112676056338061</v>
      </c>
    </row>
    <row r="101" spans="2:40" x14ac:dyDescent="0.35">
      <c r="B101" s="13">
        <v>44661</v>
      </c>
      <c r="C101" s="8">
        <v>924.6</v>
      </c>
      <c r="D101" s="8">
        <f t="shared" si="0"/>
        <v>15.899999999999977</v>
      </c>
      <c r="E101" s="8">
        <f t="shared" si="1"/>
        <v>1.749752393529215</v>
      </c>
      <c r="G101" s="16">
        <v>44661</v>
      </c>
      <c r="H101" s="14">
        <v>4505.95</v>
      </c>
      <c r="I101" s="8">
        <v>126.25</v>
      </c>
      <c r="J101" s="8">
        <v>2.8826175310000002</v>
      </c>
      <c r="L101" s="13">
        <v>44661</v>
      </c>
      <c r="M101" s="8">
        <v>1616.05</v>
      </c>
      <c r="N101" s="8">
        <f t="shared" si="2"/>
        <v>-42.200000000000045</v>
      </c>
      <c r="O101" s="8">
        <f t="shared" si="3"/>
        <v>-2.5448515000753833</v>
      </c>
      <c r="Q101" s="13">
        <v>44661</v>
      </c>
      <c r="R101" s="8">
        <v>17999</v>
      </c>
      <c r="S101" s="8">
        <f t="shared" si="14"/>
        <v>486.59999999999854</v>
      </c>
      <c r="T101" s="8">
        <f t="shared" si="15"/>
        <v>2.7786025901646747</v>
      </c>
      <c r="V101" s="13">
        <v>44661</v>
      </c>
      <c r="W101" s="8">
        <v>1011.6</v>
      </c>
      <c r="X101" s="8">
        <f t="shared" si="6"/>
        <v>-3.25</v>
      </c>
      <c r="Y101" s="8">
        <f t="shared" si="7"/>
        <v>-0.32024437108932352</v>
      </c>
      <c r="AA101" s="13">
        <v>44661</v>
      </c>
      <c r="AB101" s="8">
        <v>4430.3500000000004</v>
      </c>
      <c r="AC101" s="8">
        <f t="shared" si="8"/>
        <v>150.90000000000055</v>
      </c>
      <c r="AD101" s="8">
        <f t="shared" si="9"/>
        <v>3.5261540618537559</v>
      </c>
      <c r="AF101" s="13">
        <v>44661</v>
      </c>
      <c r="AG101" s="8">
        <v>2803.75</v>
      </c>
      <c r="AH101" s="8">
        <f t="shared" si="10"/>
        <v>205.94999999999982</v>
      </c>
      <c r="AI101" s="8">
        <f t="shared" si="11"/>
        <v>7.9278620371083148</v>
      </c>
      <c r="AK101" s="13">
        <v>44661</v>
      </c>
      <c r="AL101" s="8">
        <v>355</v>
      </c>
      <c r="AM101" s="8">
        <f t="shared" si="12"/>
        <v>13.100000000000023</v>
      </c>
      <c r="AN101" s="8">
        <f t="shared" si="13"/>
        <v>3.8315296870430018</v>
      </c>
    </row>
    <row r="102" spans="2:40" x14ac:dyDescent="0.35">
      <c r="B102" s="13">
        <v>44654</v>
      </c>
      <c r="C102" s="8">
        <v>908.7</v>
      </c>
      <c r="D102" s="8">
        <f t="shared" si="0"/>
        <v>6.3500000000000227</v>
      </c>
      <c r="E102" s="8">
        <f t="shared" si="1"/>
        <v>0.70371806948523552</v>
      </c>
      <c r="G102" s="16">
        <v>44654</v>
      </c>
      <c r="H102" s="14">
        <v>4379.7</v>
      </c>
      <c r="I102" s="8">
        <v>-74.45</v>
      </c>
      <c r="J102" s="8">
        <v>-1.6714749170000001</v>
      </c>
      <c r="L102" s="13">
        <v>44654</v>
      </c>
      <c r="M102" s="8">
        <v>1658.25</v>
      </c>
      <c r="N102" s="8">
        <f t="shared" si="2"/>
        <v>116.34999999999991</v>
      </c>
      <c r="O102" s="8">
        <f t="shared" si="3"/>
        <v>7.5458849471431284</v>
      </c>
      <c r="Q102" s="13">
        <v>44654</v>
      </c>
      <c r="R102" s="8">
        <v>17512.400000000001</v>
      </c>
      <c r="S102" s="8">
        <f t="shared" si="14"/>
        <v>1490.5500000000011</v>
      </c>
      <c r="T102" s="8">
        <f t="shared" si="15"/>
        <v>9.3032327727447282</v>
      </c>
      <c r="V102" s="13">
        <v>44654</v>
      </c>
      <c r="W102" s="8">
        <v>1014.85</v>
      </c>
      <c r="X102" s="8">
        <f t="shared" si="6"/>
        <v>1.3500000000000227</v>
      </c>
      <c r="Y102" s="8">
        <f t="shared" si="7"/>
        <v>0.13320177602368255</v>
      </c>
      <c r="AA102" s="13">
        <v>44654</v>
      </c>
      <c r="AB102" s="8">
        <v>4279.45</v>
      </c>
      <c r="AC102" s="8">
        <f t="shared" si="8"/>
        <v>-82</v>
      </c>
      <c r="AD102" s="8">
        <f t="shared" si="9"/>
        <v>-1.8801086794529343</v>
      </c>
      <c r="AF102" s="13">
        <v>44654</v>
      </c>
      <c r="AG102" s="8">
        <v>2597.8000000000002</v>
      </c>
      <c r="AH102" s="8">
        <f t="shared" si="10"/>
        <v>-38.799999999999727</v>
      </c>
      <c r="AI102" s="8">
        <f t="shared" si="11"/>
        <v>-1.471592202078424</v>
      </c>
      <c r="AK102" s="13">
        <v>44654</v>
      </c>
      <c r="AL102" s="8">
        <v>341.9</v>
      </c>
      <c r="AM102" s="8">
        <f t="shared" si="12"/>
        <v>-7</v>
      </c>
      <c r="AN102" s="8">
        <f t="shared" si="13"/>
        <v>-2.0063055316709661</v>
      </c>
    </row>
    <row r="103" spans="2:40" x14ac:dyDescent="0.35">
      <c r="B103" s="13">
        <v>44647</v>
      </c>
      <c r="C103" s="8">
        <v>902.35</v>
      </c>
      <c r="D103" s="8">
        <f t="shared" si="0"/>
        <v>-9.25</v>
      </c>
      <c r="E103" s="8">
        <f t="shared" si="1"/>
        <v>-1.0146994295743748</v>
      </c>
      <c r="G103" s="16">
        <v>44647</v>
      </c>
      <c r="H103" s="14">
        <v>4454.1499999999996</v>
      </c>
      <c r="I103" s="8">
        <v>-50.2</v>
      </c>
      <c r="J103" s="8">
        <v>-1.114478227</v>
      </c>
      <c r="L103" s="13">
        <v>44647</v>
      </c>
      <c r="M103" s="8">
        <v>1541.9</v>
      </c>
      <c r="N103" s="8">
        <f t="shared" si="2"/>
        <v>-29.599999999999909</v>
      </c>
      <c r="O103" s="8">
        <f t="shared" si="3"/>
        <v>-1.8835507476932809</v>
      </c>
      <c r="Q103" s="13">
        <v>44647</v>
      </c>
      <c r="R103" s="8">
        <v>16021.85</v>
      </c>
      <c r="S103" s="8">
        <f t="shared" si="14"/>
        <v>-1236.0500000000011</v>
      </c>
      <c r="T103" s="8">
        <f t="shared" si="15"/>
        <v>-7.1622271539410995</v>
      </c>
      <c r="V103" s="13">
        <v>44647</v>
      </c>
      <c r="W103" s="8">
        <v>1013.5</v>
      </c>
      <c r="X103" s="8">
        <f t="shared" si="6"/>
        <v>-35</v>
      </c>
      <c r="Y103" s="8">
        <f t="shared" si="7"/>
        <v>-3.3381020505484025</v>
      </c>
      <c r="AA103" s="13">
        <v>44647</v>
      </c>
      <c r="AB103" s="8">
        <v>4361.45</v>
      </c>
      <c r="AC103" s="8">
        <f t="shared" si="8"/>
        <v>319.29999999999973</v>
      </c>
      <c r="AD103" s="8">
        <f t="shared" si="9"/>
        <v>7.8992615316106454</v>
      </c>
      <c r="AF103" s="13">
        <v>44647</v>
      </c>
      <c r="AG103" s="8">
        <v>2636.6</v>
      </c>
      <c r="AH103" s="8">
        <f t="shared" si="10"/>
        <v>-119.59999999999991</v>
      </c>
      <c r="AI103" s="8">
        <f t="shared" si="11"/>
        <v>-4.3393077425440794</v>
      </c>
      <c r="AK103" s="13">
        <v>44647</v>
      </c>
      <c r="AL103" s="8">
        <v>348.9</v>
      </c>
      <c r="AM103" s="8">
        <f t="shared" si="12"/>
        <v>17.449999999999989</v>
      </c>
      <c r="AN103" s="8">
        <f t="shared" si="13"/>
        <v>5.264745813848239</v>
      </c>
    </row>
    <row r="104" spans="2:40" x14ac:dyDescent="0.35">
      <c r="B104" s="13">
        <v>44640</v>
      </c>
      <c r="C104" s="8">
        <v>911.6</v>
      </c>
      <c r="D104" s="8">
        <f t="shared" si="0"/>
        <v>9.6000000000000227</v>
      </c>
      <c r="E104" s="8">
        <f t="shared" si="1"/>
        <v>1.0643015521064327</v>
      </c>
      <c r="G104" s="16">
        <v>44640</v>
      </c>
      <c r="H104" s="14">
        <v>4504.3500000000004</v>
      </c>
      <c r="I104" s="8">
        <v>164.95</v>
      </c>
      <c r="J104" s="8">
        <v>3.8012167579999998</v>
      </c>
      <c r="L104" s="13">
        <v>44640</v>
      </c>
      <c r="M104" s="8">
        <v>1571.5</v>
      </c>
      <c r="N104" s="8">
        <f t="shared" si="2"/>
        <v>27.200000000000045</v>
      </c>
      <c r="O104" s="8">
        <f t="shared" si="3"/>
        <v>1.7613158065142813</v>
      </c>
      <c r="Q104" s="13">
        <v>44640</v>
      </c>
      <c r="R104" s="8">
        <v>17257.900000000001</v>
      </c>
      <c r="S104" s="8">
        <f t="shared" si="14"/>
        <v>-10.75</v>
      </c>
      <c r="T104" s="8">
        <f t="shared" si="15"/>
        <v>-6.2251536744331488E-2</v>
      </c>
      <c r="V104" s="13">
        <v>44640</v>
      </c>
      <c r="W104" s="8">
        <v>1048.5</v>
      </c>
      <c r="X104" s="8">
        <f t="shared" si="6"/>
        <v>4.5499999999999545</v>
      </c>
      <c r="Y104" s="8">
        <f t="shared" si="7"/>
        <v>0.43584462857416106</v>
      </c>
      <c r="AA104" s="13">
        <v>44640</v>
      </c>
      <c r="AB104" s="8">
        <v>4042.15</v>
      </c>
      <c r="AC104" s="8">
        <f t="shared" si="8"/>
        <v>66.550000000000182</v>
      </c>
      <c r="AD104" s="8">
        <f t="shared" si="9"/>
        <v>1.6739611630948834</v>
      </c>
      <c r="AF104" s="13">
        <v>44640</v>
      </c>
      <c r="AG104" s="8">
        <v>2756.2</v>
      </c>
      <c r="AH104" s="8">
        <f t="shared" si="10"/>
        <v>118.64999999999964</v>
      </c>
      <c r="AI104" s="8">
        <f t="shared" si="11"/>
        <v>4.4984929195654919</v>
      </c>
      <c r="AK104" s="13">
        <v>44640</v>
      </c>
      <c r="AL104" s="8">
        <v>331.45</v>
      </c>
      <c r="AM104" s="8">
        <f t="shared" si="12"/>
        <v>-0.5</v>
      </c>
      <c r="AN104" s="8">
        <f t="shared" si="13"/>
        <v>-0.15062509414068384</v>
      </c>
    </row>
    <row r="105" spans="2:40" x14ac:dyDescent="0.35">
      <c r="B105" s="13">
        <v>44633</v>
      </c>
      <c r="C105" s="8">
        <v>902</v>
      </c>
      <c r="D105" s="8">
        <f t="shared" si="0"/>
        <v>72.350000000000023</v>
      </c>
      <c r="E105" s="8">
        <f t="shared" si="1"/>
        <v>8.7205448080515904</v>
      </c>
      <c r="G105" s="16">
        <v>44633</v>
      </c>
      <c r="H105" s="14">
        <v>4339.3999999999996</v>
      </c>
      <c r="I105" s="8">
        <v>244.7</v>
      </c>
      <c r="J105" s="8">
        <v>5.9760177790000002</v>
      </c>
      <c r="L105" s="13">
        <v>44633</v>
      </c>
      <c r="M105" s="8">
        <v>1544.3</v>
      </c>
      <c r="N105" s="8">
        <f t="shared" si="2"/>
        <v>56.849999999999909</v>
      </c>
      <c r="O105" s="8">
        <f t="shared" si="3"/>
        <v>3.821977209317954</v>
      </c>
      <c r="Q105" s="13">
        <v>44633</v>
      </c>
      <c r="R105" s="8">
        <v>17268.650000000001</v>
      </c>
      <c r="S105" s="8">
        <f t="shared" si="14"/>
        <v>-190.75</v>
      </c>
      <c r="T105" s="8">
        <f t="shared" si="15"/>
        <v>-1.092534680458664</v>
      </c>
      <c r="V105" s="13">
        <v>44633</v>
      </c>
      <c r="W105" s="8">
        <v>1043.95</v>
      </c>
      <c r="X105" s="8">
        <f t="shared" si="6"/>
        <v>112.75</v>
      </c>
      <c r="Y105" s="8">
        <f t="shared" si="7"/>
        <v>12.108032646048109</v>
      </c>
      <c r="AA105" s="13">
        <v>44633</v>
      </c>
      <c r="AB105" s="8">
        <v>3975.6</v>
      </c>
      <c r="AC105" s="8">
        <f t="shared" si="8"/>
        <v>146.94999999999982</v>
      </c>
      <c r="AD105" s="8">
        <f t="shared" si="9"/>
        <v>3.8381675002938325</v>
      </c>
      <c r="AF105" s="13">
        <v>44633</v>
      </c>
      <c r="AG105" s="8">
        <v>2637.55</v>
      </c>
      <c r="AH105" s="8">
        <f t="shared" si="10"/>
        <v>286.70000000000027</v>
      </c>
      <c r="AI105" s="8">
        <f t="shared" si="11"/>
        <v>12.195588829572296</v>
      </c>
      <c r="AK105" s="13">
        <v>44633</v>
      </c>
      <c r="AL105" s="8">
        <v>331.95</v>
      </c>
      <c r="AM105" s="8">
        <f t="shared" si="12"/>
        <v>3.75</v>
      </c>
      <c r="AN105" s="8">
        <f t="shared" si="13"/>
        <v>1.1425959780621573</v>
      </c>
    </row>
    <row r="106" spans="2:40" x14ac:dyDescent="0.35">
      <c r="B106" s="13">
        <v>44626</v>
      </c>
      <c r="C106" s="8">
        <v>829.65</v>
      </c>
      <c r="D106" s="8">
        <f t="shared" si="0"/>
        <v>-1.8999999999999773</v>
      </c>
      <c r="E106" s="8">
        <f t="shared" si="1"/>
        <v>-0.22848896638806776</v>
      </c>
      <c r="G106" s="16">
        <v>44626</v>
      </c>
      <c r="H106" s="14">
        <v>4094.7</v>
      </c>
      <c r="I106" s="8">
        <v>-43.65</v>
      </c>
      <c r="J106" s="8">
        <v>-1.054768205</v>
      </c>
      <c r="L106" s="13">
        <v>44626</v>
      </c>
      <c r="M106" s="8">
        <v>1487.45</v>
      </c>
      <c r="N106" s="8">
        <f t="shared" si="2"/>
        <v>-29.75</v>
      </c>
      <c r="O106" s="8">
        <f t="shared" si="3"/>
        <v>-1.9608489322436067</v>
      </c>
      <c r="Q106" s="13">
        <v>44626</v>
      </c>
      <c r="R106" s="8">
        <v>17459.400000000001</v>
      </c>
      <c r="S106" s="8">
        <f t="shared" si="14"/>
        <v>79.600000000002183</v>
      </c>
      <c r="T106" s="8">
        <f t="shared" si="15"/>
        <v>0.45800296896398224</v>
      </c>
      <c r="V106" s="13">
        <v>44626</v>
      </c>
      <c r="W106" s="8">
        <v>931.2</v>
      </c>
      <c r="X106" s="8">
        <f t="shared" si="6"/>
        <v>7.5500000000000682</v>
      </c>
      <c r="Y106" s="8">
        <f t="shared" si="7"/>
        <v>0.81740919179343563</v>
      </c>
      <c r="AA106" s="13">
        <v>44626</v>
      </c>
      <c r="AB106" s="8">
        <v>3828.65</v>
      </c>
      <c r="AC106" s="8">
        <f t="shared" si="8"/>
        <v>-347.95000000000027</v>
      </c>
      <c r="AD106" s="8">
        <f t="shared" si="9"/>
        <v>-8.330939041325486</v>
      </c>
      <c r="AF106" s="13">
        <v>44626</v>
      </c>
      <c r="AG106" s="8">
        <v>2350.85</v>
      </c>
      <c r="AH106" s="8">
        <f t="shared" si="10"/>
        <v>-170.09999999999991</v>
      </c>
      <c r="AI106" s="8">
        <f t="shared" si="11"/>
        <v>-6.7474563160713199</v>
      </c>
      <c r="AK106" s="13">
        <v>44626</v>
      </c>
      <c r="AL106" s="8">
        <v>328.2</v>
      </c>
      <c r="AM106" s="8">
        <f t="shared" si="12"/>
        <v>-66.350000000000023</v>
      </c>
      <c r="AN106" s="8">
        <f t="shared" si="13"/>
        <v>-16.816626536560644</v>
      </c>
    </row>
    <row r="107" spans="2:40" x14ac:dyDescent="0.35">
      <c r="B107" s="13">
        <v>44619</v>
      </c>
      <c r="C107" s="8">
        <v>831.55</v>
      </c>
      <c r="D107" s="8">
        <f t="shared" si="0"/>
        <v>-31.350000000000023</v>
      </c>
      <c r="E107" s="8">
        <f t="shared" si="1"/>
        <v>-3.6330976938231574</v>
      </c>
      <c r="G107" s="16">
        <v>44619</v>
      </c>
      <c r="H107" s="14">
        <v>4138.3500000000004</v>
      </c>
      <c r="I107" s="8">
        <v>-215.05</v>
      </c>
      <c r="J107" s="8">
        <v>-4.939817154</v>
      </c>
      <c r="L107" s="13">
        <v>44619</v>
      </c>
      <c r="M107" s="8">
        <v>1517.2</v>
      </c>
      <c r="N107" s="8">
        <f t="shared" si="2"/>
        <v>-50.399999999999864</v>
      </c>
      <c r="O107" s="8">
        <f t="shared" si="3"/>
        <v>-3.2151058943607977</v>
      </c>
      <c r="Q107" s="13">
        <v>44619</v>
      </c>
      <c r="R107" s="8">
        <v>17379.8</v>
      </c>
      <c r="S107" s="8">
        <f t="shared" si="14"/>
        <v>1000.6499999999996</v>
      </c>
      <c r="T107" s="8">
        <f t="shared" si="15"/>
        <v>6.1092913856946165</v>
      </c>
      <c r="V107" s="13">
        <v>44619</v>
      </c>
      <c r="W107" s="8">
        <v>923.65</v>
      </c>
      <c r="X107" s="8">
        <f t="shared" si="6"/>
        <v>14.549999999999955</v>
      </c>
      <c r="Y107" s="8">
        <f t="shared" si="7"/>
        <v>1.6004839951600434</v>
      </c>
      <c r="AA107" s="13">
        <v>44619</v>
      </c>
      <c r="AB107" s="8">
        <v>4176.6000000000004</v>
      </c>
      <c r="AC107" s="8">
        <f t="shared" si="8"/>
        <v>-144.54999999999927</v>
      </c>
      <c r="AD107" s="8">
        <f t="shared" si="9"/>
        <v>-3.3451743170220727</v>
      </c>
      <c r="AF107" s="13">
        <v>44619</v>
      </c>
      <c r="AG107" s="8">
        <v>2520.9499999999998</v>
      </c>
      <c r="AH107" s="8">
        <f t="shared" si="10"/>
        <v>-208.60000000000036</v>
      </c>
      <c r="AI107" s="8">
        <f t="shared" si="11"/>
        <v>-7.6422853583924217</v>
      </c>
      <c r="AK107" s="13">
        <v>44619</v>
      </c>
      <c r="AL107" s="8">
        <v>394.55</v>
      </c>
      <c r="AM107" s="8">
        <f t="shared" si="12"/>
        <v>1.8500000000000227</v>
      </c>
      <c r="AN107" s="8">
        <f t="shared" si="13"/>
        <v>0.47109752992106513</v>
      </c>
    </row>
    <row r="108" spans="2:40" x14ac:dyDescent="0.35">
      <c r="B108" s="13">
        <v>44612</v>
      </c>
      <c r="C108" s="8">
        <v>862.9</v>
      </c>
      <c r="D108" s="8">
        <f t="shared" si="0"/>
        <v>-17.200000000000045</v>
      </c>
      <c r="E108" s="8">
        <f t="shared" si="1"/>
        <v>-1.954323372344057</v>
      </c>
      <c r="G108" s="16">
        <v>44612</v>
      </c>
      <c r="H108" s="14">
        <v>4353.3999999999996</v>
      </c>
      <c r="I108" s="8">
        <v>62.15</v>
      </c>
      <c r="J108" s="8">
        <v>1.448295951</v>
      </c>
      <c r="L108" s="13">
        <v>44612</v>
      </c>
      <c r="M108" s="8">
        <v>1567.6</v>
      </c>
      <c r="N108" s="8">
        <f t="shared" si="2"/>
        <v>-1.9500000000000455</v>
      </c>
      <c r="O108" s="8">
        <f t="shared" si="3"/>
        <v>-0.1242394316842436</v>
      </c>
      <c r="Q108" s="13">
        <v>44612</v>
      </c>
      <c r="R108" s="8">
        <v>16379.15</v>
      </c>
      <c r="S108" s="8">
        <f t="shared" si="14"/>
        <v>-157.89999999999964</v>
      </c>
      <c r="T108" s="8">
        <f t="shared" si="15"/>
        <v>-0.95482567930797602</v>
      </c>
      <c r="V108" s="13">
        <v>44612</v>
      </c>
      <c r="W108" s="8">
        <v>909.1</v>
      </c>
      <c r="X108" s="8">
        <f t="shared" si="6"/>
        <v>-49.399999999999977</v>
      </c>
      <c r="Y108" s="8">
        <f t="shared" si="7"/>
        <v>-5.1538862806468417</v>
      </c>
      <c r="AA108" s="13">
        <v>44612</v>
      </c>
      <c r="AB108" s="8">
        <v>4321.1499999999996</v>
      </c>
      <c r="AC108" s="8">
        <f t="shared" si="8"/>
        <v>-4.25</v>
      </c>
      <c r="AD108" s="8">
        <f t="shared" si="9"/>
        <v>-9.8256808618856065E-2</v>
      </c>
      <c r="AF108" s="13">
        <v>44612</v>
      </c>
      <c r="AG108" s="8">
        <v>2729.55</v>
      </c>
      <c r="AH108" s="8">
        <f t="shared" si="10"/>
        <v>-107.69999999999982</v>
      </c>
      <c r="AI108" s="8">
        <f t="shared" si="11"/>
        <v>-3.7959291567538926</v>
      </c>
      <c r="AK108" s="13">
        <v>44612</v>
      </c>
      <c r="AL108" s="8">
        <v>392.7</v>
      </c>
      <c r="AM108" s="8">
        <f t="shared" si="12"/>
        <v>-10.199999999999989</v>
      </c>
      <c r="AN108" s="8">
        <f t="shared" si="13"/>
        <v>-2.5316455696202507</v>
      </c>
    </row>
    <row r="109" spans="2:40" x14ac:dyDescent="0.35">
      <c r="B109" s="13">
        <v>44605</v>
      </c>
      <c r="C109" s="8">
        <v>880.1</v>
      </c>
      <c r="D109" s="8">
        <f t="shared" si="0"/>
        <v>-13.850000000000023</v>
      </c>
      <c r="E109" s="8">
        <f t="shared" si="1"/>
        <v>-1.5493036523295511</v>
      </c>
      <c r="G109" s="16">
        <v>44605</v>
      </c>
      <c r="H109" s="14">
        <v>4291.25</v>
      </c>
      <c r="I109" s="8">
        <v>-13.25</v>
      </c>
      <c r="J109" s="8">
        <v>-0.3078174004</v>
      </c>
      <c r="L109" s="13">
        <v>44605</v>
      </c>
      <c r="M109" s="8">
        <v>1569.55</v>
      </c>
      <c r="N109" s="8">
        <f t="shared" si="2"/>
        <v>-3.6500000000000909</v>
      </c>
      <c r="O109" s="8">
        <f t="shared" si="3"/>
        <v>-0.23201118738876753</v>
      </c>
      <c r="Q109" s="13">
        <v>44605</v>
      </c>
      <c r="R109" s="8">
        <v>16537.05</v>
      </c>
      <c r="S109" s="8">
        <f t="shared" si="14"/>
        <v>673</v>
      </c>
      <c r="T109" s="8">
        <f t="shared" si="15"/>
        <v>4.2422962610430508</v>
      </c>
      <c r="V109" s="13">
        <v>44605</v>
      </c>
      <c r="W109" s="8">
        <v>958.5</v>
      </c>
      <c r="X109" s="8">
        <f t="shared" si="6"/>
        <v>12.399999999999977</v>
      </c>
      <c r="Y109" s="8">
        <f t="shared" si="7"/>
        <v>1.3106436951696414</v>
      </c>
      <c r="AA109" s="13">
        <v>44605</v>
      </c>
      <c r="AB109" s="8">
        <v>4325.3999999999996</v>
      </c>
      <c r="AC109" s="8">
        <f t="shared" si="8"/>
        <v>-26.550000000000182</v>
      </c>
      <c r="AD109" s="8">
        <f t="shared" si="9"/>
        <v>-0.61007134732706447</v>
      </c>
      <c r="AF109" s="13">
        <v>44605</v>
      </c>
      <c r="AG109" s="8">
        <v>2837.25</v>
      </c>
      <c r="AH109" s="8">
        <f t="shared" si="10"/>
        <v>-248.94999999999982</v>
      </c>
      <c r="AI109" s="8">
        <f t="shared" si="11"/>
        <v>-8.066554338668908</v>
      </c>
      <c r="AK109" s="13">
        <v>44605</v>
      </c>
      <c r="AL109" s="8">
        <v>402.9</v>
      </c>
      <c r="AM109" s="8">
        <f t="shared" si="12"/>
        <v>11.25</v>
      </c>
      <c r="AN109" s="8">
        <f t="shared" si="13"/>
        <v>2.8724626579854462</v>
      </c>
    </row>
    <row r="110" spans="2:40" x14ac:dyDescent="0.35">
      <c r="B110" s="13">
        <v>44598</v>
      </c>
      <c r="C110" s="8">
        <v>893.95</v>
      </c>
      <c r="D110" s="8">
        <f t="shared" si="0"/>
        <v>66.600000000000023</v>
      </c>
      <c r="E110" s="8">
        <f t="shared" si="1"/>
        <v>8.0497975463830329</v>
      </c>
      <c r="G110" s="16">
        <v>44598</v>
      </c>
      <c r="H110" s="14">
        <v>4304.5</v>
      </c>
      <c r="I110" s="8">
        <v>363.8</v>
      </c>
      <c r="J110" s="8">
        <v>9.2318623590000009</v>
      </c>
      <c r="L110" s="13">
        <v>44598</v>
      </c>
      <c r="M110" s="8">
        <v>1573.2</v>
      </c>
      <c r="N110" s="8">
        <f t="shared" si="2"/>
        <v>-18.549999999999955</v>
      </c>
      <c r="O110" s="8">
        <f t="shared" si="3"/>
        <v>-1.1653840113083056</v>
      </c>
      <c r="Q110" s="13">
        <v>44598</v>
      </c>
      <c r="R110" s="8">
        <v>15864.05</v>
      </c>
      <c r="S110" s="8">
        <f t="shared" si="14"/>
        <v>-219.15000000000146</v>
      </c>
      <c r="T110" s="8">
        <f t="shared" si="15"/>
        <v>-1.3626019697572713</v>
      </c>
      <c r="V110" s="13">
        <v>44598</v>
      </c>
      <c r="W110" s="8">
        <v>946.1</v>
      </c>
      <c r="X110" s="8">
        <f t="shared" si="6"/>
        <v>13.850000000000023</v>
      </c>
      <c r="Y110" s="8">
        <f t="shared" si="7"/>
        <v>1.4856529900777713</v>
      </c>
      <c r="AA110" s="13">
        <v>44598</v>
      </c>
      <c r="AB110" s="8">
        <v>4351.95</v>
      </c>
      <c r="AC110" s="8">
        <f t="shared" si="8"/>
        <v>133.34999999999945</v>
      </c>
      <c r="AD110" s="8">
        <f t="shared" si="9"/>
        <v>3.1610012800454994</v>
      </c>
      <c r="AF110" s="13">
        <v>44598</v>
      </c>
      <c r="AG110" s="8">
        <v>3086.2</v>
      </c>
      <c r="AH110" s="8">
        <f t="shared" si="10"/>
        <v>264.14999999999964</v>
      </c>
      <c r="AI110" s="8">
        <f t="shared" si="11"/>
        <v>9.3602168636274907</v>
      </c>
      <c r="AK110" s="13">
        <v>44598</v>
      </c>
      <c r="AL110" s="8">
        <v>391.65</v>
      </c>
      <c r="AM110" s="8">
        <f t="shared" si="12"/>
        <v>27.549999999999955</v>
      </c>
      <c r="AN110" s="8">
        <f t="shared" si="13"/>
        <v>7.5666025817083087</v>
      </c>
    </row>
    <row r="111" spans="2:40" x14ac:dyDescent="0.35">
      <c r="B111" s="13">
        <v>44591</v>
      </c>
      <c r="C111" s="8">
        <v>827.35</v>
      </c>
      <c r="D111" s="8">
        <f t="shared" si="0"/>
        <v>18.600000000000023</v>
      </c>
      <c r="E111" s="8">
        <f t="shared" si="1"/>
        <v>2.2998454404945932</v>
      </c>
      <c r="G111" s="16">
        <v>44591</v>
      </c>
      <c r="H111" s="14">
        <v>3940.7</v>
      </c>
      <c r="I111" s="8">
        <v>-238.7</v>
      </c>
      <c r="J111" s="8">
        <v>-5.7113461259999996</v>
      </c>
      <c r="L111" s="13">
        <v>44591</v>
      </c>
      <c r="M111" s="8">
        <v>1591.75</v>
      </c>
      <c r="N111" s="8">
        <f t="shared" si="2"/>
        <v>-136.79999999999995</v>
      </c>
      <c r="O111" s="8">
        <f t="shared" si="3"/>
        <v>-7.9141476960458172</v>
      </c>
      <c r="Q111" s="13">
        <v>44591</v>
      </c>
      <c r="R111" s="8">
        <v>16083.2</v>
      </c>
      <c r="S111" s="8">
        <f t="shared" si="14"/>
        <v>-897.64999999999782</v>
      </c>
      <c r="T111" s="8">
        <f t="shared" si="15"/>
        <v>-5.286248921579296</v>
      </c>
      <c r="V111" s="13">
        <v>44591</v>
      </c>
      <c r="W111" s="8">
        <v>932.25</v>
      </c>
      <c r="X111" s="8">
        <f t="shared" si="6"/>
        <v>64.799999999999955</v>
      </c>
      <c r="Y111" s="8">
        <f t="shared" si="7"/>
        <v>7.4701711914231312</v>
      </c>
      <c r="AA111" s="13">
        <v>44591</v>
      </c>
      <c r="AB111" s="8">
        <v>4218.6000000000004</v>
      </c>
      <c r="AC111" s="8">
        <f t="shared" si="8"/>
        <v>-277.54999999999927</v>
      </c>
      <c r="AD111" s="8">
        <f t="shared" si="9"/>
        <v>-6.1730591728478652</v>
      </c>
      <c r="AF111" s="13">
        <v>44591</v>
      </c>
      <c r="AG111" s="8">
        <v>2822.05</v>
      </c>
      <c r="AH111" s="8">
        <f t="shared" si="10"/>
        <v>-191.44999999999982</v>
      </c>
      <c r="AI111" s="8">
        <f t="shared" si="11"/>
        <v>-6.3530778164924442</v>
      </c>
      <c r="AK111" s="13">
        <v>44591</v>
      </c>
      <c r="AL111" s="8">
        <v>364.1</v>
      </c>
      <c r="AM111" s="8">
        <f t="shared" si="12"/>
        <v>-13</v>
      </c>
      <c r="AN111" s="8">
        <f t="shared" si="13"/>
        <v>-3.4473614425881727</v>
      </c>
    </row>
    <row r="112" spans="2:40" x14ac:dyDescent="0.35">
      <c r="B112" s="13">
        <v>44584</v>
      </c>
      <c r="C112" s="8">
        <v>808.75</v>
      </c>
      <c r="D112" s="8">
        <f t="shared" si="0"/>
        <v>-51</v>
      </c>
      <c r="E112" s="8">
        <f t="shared" si="1"/>
        <v>-5.9319569642337893</v>
      </c>
      <c r="G112" s="16">
        <v>44584</v>
      </c>
      <c r="H112" s="14">
        <v>4179.3999999999996</v>
      </c>
      <c r="I112" s="8">
        <v>-437.2</v>
      </c>
      <c r="J112" s="8">
        <v>-9.4701728539999994</v>
      </c>
      <c r="L112" s="13">
        <v>44584</v>
      </c>
      <c r="M112" s="8">
        <v>1728.55</v>
      </c>
      <c r="N112" s="8">
        <f t="shared" si="2"/>
        <v>-32.700000000000045</v>
      </c>
      <c r="O112" s="8">
        <f t="shared" si="3"/>
        <v>-1.8566359119943248</v>
      </c>
      <c r="Q112" s="13">
        <v>44584</v>
      </c>
      <c r="R112" s="8">
        <v>16980.849999999999</v>
      </c>
      <c r="S112" s="8">
        <f t="shared" si="14"/>
        <v>-709.60000000000218</v>
      </c>
      <c r="T112" s="8">
        <f t="shared" si="15"/>
        <v>-4.0112037850930991</v>
      </c>
      <c r="V112" s="13">
        <v>44584</v>
      </c>
      <c r="W112" s="8">
        <v>867.45</v>
      </c>
      <c r="X112" s="8">
        <f t="shared" si="6"/>
        <v>-54.049999999999955</v>
      </c>
      <c r="Y112" s="8">
        <f t="shared" si="7"/>
        <v>-5.8654367878458986</v>
      </c>
      <c r="AA112" s="13">
        <v>44584</v>
      </c>
      <c r="AB112" s="8">
        <v>4496.1499999999996</v>
      </c>
      <c r="AC112" s="8">
        <f t="shared" si="8"/>
        <v>-193.05000000000018</v>
      </c>
      <c r="AD112" s="8">
        <f t="shared" si="9"/>
        <v>-4.1169069350848799</v>
      </c>
      <c r="AF112" s="13">
        <v>44584</v>
      </c>
      <c r="AG112" s="8">
        <v>3013.5</v>
      </c>
      <c r="AH112" s="8">
        <f t="shared" si="10"/>
        <v>-623.80000000000018</v>
      </c>
      <c r="AI112" s="8">
        <f t="shared" si="11"/>
        <v>-17.15008385340775</v>
      </c>
      <c r="AK112" s="13">
        <v>44584</v>
      </c>
      <c r="AL112" s="8">
        <v>377.1</v>
      </c>
      <c r="AM112" s="8">
        <f t="shared" si="12"/>
        <v>19.400000000000034</v>
      </c>
      <c r="AN112" s="8">
        <f t="shared" si="13"/>
        <v>5.4235392787251984</v>
      </c>
    </row>
    <row r="113" spans="2:40" x14ac:dyDescent="0.35">
      <c r="B113" s="13">
        <v>44577</v>
      </c>
      <c r="C113" s="8">
        <v>859.75</v>
      </c>
      <c r="D113" s="8">
        <f t="shared" si="0"/>
        <v>30.799999999999955</v>
      </c>
      <c r="E113" s="8">
        <f t="shared" si="1"/>
        <v>3.7155437601785333</v>
      </c>
      <c r="G113" s="16">
        <v>44577</v>
      </c>
      <c r="H113" s="14">
        <v>4616.6000000000004</v>
      </c>
      <c r="I113" s="8">
        <v>99.9</v>
      </c>
      <c r="J113" s="8">
        <v>2.2117917949999999</v>
      </c>
      <c r="L113" s="13">
        <v>44577</v>
      </c>
      <c r="M113" s="8">
        <v>1761.25</v>
      </c>
      <c r="N113" s="8">
        <f t="shared" si="2"/>
        <v>15.5</v>
      </c>
      <c r="O113" s="8">
        <f t="shared" si="3"/>
        <v>0.88787054274667043</v>
      </c>
      <c r="Q113" s="13">
        <v>44577</v>
      </c>
      <c r="R113" s="8">
        <v>17690.45</v>
      </c>
      <c r="S113" s="8">
        <f t="shared" si="14"/>
        <v>-682.45000000000073</v>
      </c>
      <c r="T113" s="8">
        <f t="shared" si="15"/>
        <v>-3.7144381126550554</v>
      </c>
      <c r="V113" s="13">
        <v>44577</v>
      </c>
      <c r="W113" s="8">
        <v>921.5</v>
      </c>
      <c r="X113" s="8">
        <f t="shared" si="6"/>
        <v>6.75</v>
      </c>
      <c r="Y113" s="8">
        <f t="shared" si="7"/>
        <v>0.73790653183930033</v>
      </c>
      <c r="AA113" s="13">
        <v>44577</v>
      </c>
      <c r="AB113" s="8">
        <v>4689.2</v>
      </c>
      <c r="AC113" s="8">
        <f t="shared" si="8"/>
        <v>-19.199999999999818</v>
      </c>
      <c r="AD113" s="8">
        <f t="shared" si="9"/>
        <v>-0.40778183671735241</v>
      </c>
      <c r="AF113" s="13">
        <v>44577</v>
      </c>
      <c r="AG113" s="8">
        <v>3637.3</v>
      </c>
      <c r="AH113" s="8">
        <f t="shared" si="10"/>
        <v>-112.54999999999973</v>
      </c>
      <c r="AI113" s="8">
        <f t="shared" si="11"/>
        <v>-3.0014533914689849</v>
      </c>
      <c r="AK113" s="13">
        <v>44577</v>
      </c>
      <c r="AL113" s="8">
        <v>357.7</v>
      </c>
      <c r="AM113" s="8">
        <f t="shared" si="12"/>
        <v>-0.80000000000001137</v>
      </c>
      <c r="AN113" s="8">
        <f t="shared" si="13"/>
        <v>-0.22315202231520539</v>
      </c>
    </row>
    <row r="114" spans="2:40" x14ac:dyDescent="0.35">
      <c r="B114" s="13">
        <v>44570</v>
      </c>
      <c r="C114" s="8">
        <v>828.95</v>
      </c>
      <c r="D114" s="8">
        <f t="shared" si="0"/>
        <v>-16.75</v>
      </c>
      <c r="E114" s="8">
        <f t="shared" si="1"/>
        <v>-1.9806077805368334</v>
      </c>
      <c r="G114" s="16">
        <v>44570</v>
      </c>
      <c r="H114" s="14">
        <v>4516.7</v>
      </c>
      <c r="I114" s="8">
        <v>-161.5</v>
      </c>
      <c r="J114" s="8">
        <v>-3.4521824630000002</v>
      </c>
      <c r="L114" s="13">
        <v>44570</v>
      </c>
      <c r="M114" s="8">
        <v>1745.75</v>
      </c>
      <c r="N114" s="8">
        <f t="shared" si="2"/>
        <v>-10.900000000000091</v>
      </c>
      <c r="O114" s="8">
        <f t="shared" si="3"/>
        <v>-0.6204992457233991</v>
      </c>
      <c r="Q114" s="13">
        <v>44570</v>
      </c>
      <c r="R114" s="8">
        <v>18372.900000000001</v>
      </c>
      <c r="S114" s="8">
        <f t="shared" si="14"/>
        <v>-1112.75</v>
      </c>
      <c r="T114" s="8">
        <f t="shared" si="15"/>
        <v>-5.710612681640078</v>
      </c>
      <c r="V114" s="13">
        <v>44570</v>
      </c>
      <c r="W114" s="8">
        <v>914.75</v>
      </c>
      <c r="X114" s="8">
        <f t="shared" si="6"/>
        <v>-29.350000000000023</v>
      </c>
      <c r="Y114" s="8">
        <f t="shared" si="7"/>
        <v>-3.1087808494862856</v>
      </c>
      <c r="AA114" s="13">
        <v>44570</v>
      </c>
      <c r="AB114" s="8">
        <v>4708.3999999999996</v>
      </c>
      <c r="AC114" s="8">
        <f t="shared" si="8"/>
        <v>-198.60000000000036</v>
      </c>
      <c r="AD114" s="8">
        <f t="shared" si="9"/>
        <v>-4.0472793967801177</v>
      </c>
      <c r="AF114" s="13">
        <v>44570</v>
      </c>
      <c r="AG114" s="8">
        <v>3749.85</v>
      </c>
      <c r="AH114" s="8">
        <f t="shared" si="10"/>
        <v>-72.400000000000091</v>
      </c>
      <c r="AI114" s="8">
        <f t="shared" si="11"/>
        <v>-1.8941722807247063</v>
      </c>
      <c r="AK114" s="13">
        <v>44570</v>
      </c>
      <c r="AL114" s="8">
        <v>358.5</v>
      </c>
      <c r="AM114" s="8">
        <f t="shared" si="12"/>
        <v>-6.1499999999999773</v>
      </c>
      <c r="AN114" s="8">
        <f t="shared" si="13"/>
        <v>-1.6865487453722687</v>
      </c>
    </row>
    <row r="115" spans="2:40" x14ac:dyDescent="0.35">
      <c r="B115" s="13">
        <v>44563</v>
      </c>
      <c r="C115" s="8">
        <v>845.7</v>
      </c>
      <c r="D115" s="8">
        <f t="shared" si="0"/>
        <v>60.300000000000068</v>
      </c>
      <c r="E115" s="8">
        <f t="shared" si="1"/>
        <v>7.6776165011459225</v>
      </c>
      <c r="G115" s="16">
        <v>44563</v>
      </c>
      <c r="H115" s="14">
        <v>4678.2</v>
      </c>
      <c r="I115" s="8">
        <v>230.95</v>
      </c>
      <c r="J115" s="8">
        <v>5.1930968579999996</v>
      </c>
      <c r="L115" s="13">
        <v>44563</v>
      </c>
      <c r="M115" s="8">
        <v>1756.65</v>
      </c>
      <c r="N115" s="8">
        <f t="shared" si="2"/>
        <v>28.850000000000136</v>
      </c>
      <c r="O115" s="8">
        <f t="shared" si="3"/>
        <v>1.6697534436856196</v>
      </c>
      <c r="Q115" s="13">
        <v>44563</v>
      </c>
      <c r="R115" s="8">
        <v>19485.650000000001</v>
      </c>
      <c r="S115" s="8">
        <f t="shared" si="14"/>
        <v>1062.2000000000007</v>
      </c>
      <c r="T115" s="8">
        <f t="shared" si="15"/>
        <v>5.7654782356181968</v>
      </c>
      <c r="V115" s="13">
        <v>44563</v>
      </c>
      <c r="W115" s="8">
        <v>944.1</v>
      </c>
      <c r="X115" s="8">
        <f t="shared" si="6"/>
        <v>35.800000000000068</v>
      </c>
      <c r="Y115" s="8">
        <f t="shared" si="7"/>
        <v>3.9414290432676506</v>
      </c>
      <c r="AA115" s="13">
        <v>44563</v>
      </c>
      <c r="AB115" s="8">
        <v>4907</v>
      </c>
      <c r="AC115" s="8">
        <f t="shared" si="8"/>
        <v>268.35000000000036</v>
      </c>
      <c r="AD115" s="8">
        <f t="shared" si="9"/>
        <v>5.7850883338902568</v>
      </c>
      <c r="AF115" s="13">
        <v>44563</v>
      </c>
      <c r="AG115" s="8">
        <v>3822.25</v>
      </c>
      <c r="AH115" s="8">
        <f t="shared" si="10"/>
        <v>307.44999999999982</v>
      </c>
      <c r="AI115" s="8">
        <f t="shared" si="11"/>
        <v>8.7472971435074491</v>
      </c>
      <c r="AK115" s="13">
        <v>44563</v>
      </c>
      <c r="AL115" s="8">
        <v>364.65</v>
      </c>
      <c r="AM115" s="8">
        <f t="shared" si="12"/>
        <v>10.199999999999989</v>
      </c>
      <c r="AN115" s="8">
        <f t="shared" si="13"/>
        <v>2.8776978417266155</v>
      </c>
    </row>
    <row r="116" spans="2:40" x14ac:dyDescent="0.35">
      <c r="B116" s="13">
        <v>44556</v>
      </c>
      <c r="C116" s="8">
        <v>785.4</v>
      </c>
      <c r="D116" s="8">
        <f t="shared" si="0"/>
        <v>16.449999999999932</v>
      </c>
      <c r="E116" s="8">
        <f t="shared" si="1"/>
        <v>2.1392808375056807</v>
      </c>
      <c r="G116" s="16">
        <v>44556</v>
      </c>
      <c r="H116" s="14">
        <v>4447.25</v>
      </c>
      <c r="I116" s="8">
        <v>-64.2</v>
      </c>
      <c r="J116" s="8">
        <v>-1.423045806</v>
      </c>
      <c r="L116" s="13">
        <v>44556</v>
      </c>
      <c r="M116" s="8">
        <v>1727.8</v>
      </c>
      <c r="N116" s="8">
        <f t="shared" si="2"/>
        <v>-61.850000000000136</v>
      </c>
      <c r="O116" s="8">
        <f t="shared" si="3"/>
        <v>-3.4559830134383893</v>
      </c>
      <c r="Q116" s="13">
        <v>44556</v>
      </c>
      <c r="R116" s="8">
        <v>18423.45</v>
      </c>
      <c r="S116" s="8">
        <f t="shared" si="14"/>
        <v>318.54999999999927</v>
      </c>
      <c r="T116" s="8">
        <f t="shared" si="15"/>
        <v>1.7594684311981799</v>
      </c>
      <c r="V116" s="13">
        <v>44556</v>
      </c>
      <c r="W116" s="8">
        <v>908.3</v>
      </c>
      <c r="X116" s="8">
        <f t="shared" si="6"/>
        <v>48.099999999999909</v>
      </c>
      <c r="Y116" s="8">
        <f t="shared" si="7"/>
        <v>5.5917228551499543</v>
      </c>
      <c r="AA116" s="13">
        <v>44556</v>
      </c>
      <c r="AB116" s="8">
        <v>4638.6499999999996</v>
      </c>
      <c r="AC116" s="8">
        <f t="shared" si="8"/>
        <v>120.69999999999982</v>
      </c>
      <c r="AD116" s="8">
        <f t="shared" si="9"/>
        <v>2.6715656437100859</v>
      </c>
      <c r="AF116" s="13">
        <v>44556</v>
      </c>
      <c r="AG116" s="8">
        <v>3514.8</v>
      </c>
      <c r="AH116" s="8">
        <f t="shared" si="10"/>
        <v>102.15000000000009</v>
      </c>
      <c r="AI116" s="8">
        <f t="shared" si="11"/>
        <v>2.993275020878206</v>
      </c>
      <c r="AK116" s="13">
        <v>44556</v>
      </c>
      <c r="AL116" s="8">
        <v>354.45</v>
      </c>
      <c r="AM116" s="8">
        <f t="shared" si="12"/>
        <v>1.1999999999999886</v>
      </c>
      <c r="AN116" s="8">
        <f t="shared" si="13"/>
        <v>0.33970276008492245</v>
      </c>
    </row>
    <row r="117" spans="2:40" x14ac:dyDescent="0.35">
      <c r="B117" s="13">
        <v>44549</v>
      </c>
      <c r="C117" s="8">
        <v>768.95</v>
      </c>
      <c r="D117" s="8">
        <f t="shared" si="0"/>
        <v>7.6000000000000227</v>
      </c>
      <c r="E117" s="8">
        <f t="shared" si="1"/>
        <v>0.99822683391344613</v>
      </c>
      <c r="G117" s="16">
        <v>44549</v>
      </c>
      <c r="H117" s="14">
        <v>4511.45</v>
      </c>
      <c r="I117" s="8">
        <v>5</v>
      </c>
      <c r="J117" s="8">
        <v>0.11095207980000001</v>
      </c>
      <c r="L117" s="13">
        <v>44549</v>
      </c>
      <c r="M117" s="8">
        <v>1789.65</v>
      </c>
      <c r="N117" s="8">
        <f t="shared" si="2"/>
        <v>-92.949999999999818</v>
      </c>
      <c r="O117" s="8">
        <f t="shared" si="3"/>
        <v>-4.9373207266546171</v>
      </c>
      <c r="Q117" s="13">
        <v>44549</v>
      </c>
      <c r="R117" s="8">
        <v>18104.900000000001</v>
      </c>
      <c r="S117" s="8">
        <f t="shared" si="14"/>
        <v>-555.29999999999927</v>
      </c>
      <c r="T117" s="8">
        <f t="shared" si="15"/>
        <v>-2.9758523488494188</v>
      </c>
      <c r="V117" s="13">
        <v>44549</v>
      </c>
      <c r="W117" s="8">
        <v>860.2</v>
      </c>
      <c r="X117" s="8">
        <f t="shared" si="6"/>
        <v>-33.699999999999932</v>
      </c>
      <c r="Y117" s="8">
        <f t="shared" si="7"/>
        <v>-3.7699966439198942</v>
      </c>
      <c r="AA117" s="13">
        <v>44549</v>
      </c>
      <c r="AB117" s="8">
        <v>4517.95</v>
      </c>
      <c r="AC117" s="8">
        <f t="shared" si="8"/>
        <v>-75.350000000000364</v>
      </c>
      <c r="AD117" s="8">
        <f t="shared" si="9"/>
        <v>-1.6404328043019258</v>
      </c>
      <c r="AF117" s="13">
        <v>44549</v>
      </c>
      <c r="AG117" s="8">
        <v>3412.65</v>
      </c>
      <c r="AH117" s="8">
        <f t="shared" si="10"/>
        <v>-89.75</v>
      </c>
      <c r="AI117" s="8">
        <f t="shared" si="11"/>
        <v>-2.5625285518501597</v>
      </c>
      <c r="AK117" s="13">
        <v>44549</v>
      </c>
      <c r="AL117" s="8">
        <v>353.25</v>
      </c>
      <c r="AM117" s="8">
        <f t="shared" si="12"/>
        <v>-18.949999999999989</v>
      </c>
      <c r="AN117" s="8">
        <f t="shared" si="13"/>
        <v>-5.0913487372380413</v>
      </c>
    </row>
    <row r="118" spans="2:40" x14ac:dyDescent="0.35">
      <c r="B118" s="13">
        <v>44542</v>
      </c>
      <c r="C118" s="8">
        <v>761.35</v>
      </c>
      <c r="D118" s="8">
        <f t="shared" si="0"/>
        <v>9.5500000000000682</v>
      </c>
      <c r="E118" s="8">
        <f t="shared" si="1"/>
        <v>1.2702846501729275</v>
      </c>
      <c r="G118" s="16">
        <v>44542</v>
      </c>
      <c r="H118" s="14">
        <v>4506.45</v>
      </c>
      <c r="I118" s="8">
        <v>-250.6</v>
      </c>
      <c r="J118" s="8">
        <v>-5.2679706959999999</v>
      </c>
      <c r="L118" s="13">
        <v>44542</v>
      </c>
      <c r="M118" s="8">
        <v>1882.6</v>
      </c>
      <c r="N118" s="8">
        <f t="shared" si="2"/>
        <v>151.54999999999995</v>
      </c>
      <c r="O118" s="8">
        <f t="shared" si="3"/>
        <v>8.7548019987868617</v>
      </c>
      <c r="Q118" s="13">
        <v>44542</v>
      </c>
      <c r="R118" s="8">
        <v>18660.2</v>
      </c>
      <c r="S118" s="8">
        <f t="shared" si="14"/>
        <v>-337.5</v>
      </c>
      <c r="T118" s="8">
        <f t="shared" si="15"/>
        <v>-1.7765308432073355</v>
      </c>
      <c r="V118" s="13">
        <v>44542</v>
      </c>
      <c r="W118" s="8">
        <v>893.9</v>
      </c>
      <c r="X118" s="8">
        <f t="shared" si="6"/>
        <v>-18.149999999999977</v>
      </c>
      <c r="Y118" s="8">
        <f t="shared" si="7"/>
        <v>-1.9900224768378902</v>
      </c>
      <c r="AA118" s="13">
        <v>44542</v>
      </c>
      <c r="AB118" s="8">
        <v>4593.3</v>
      </c>
      <c r="AC118" s="8">
        <f t="shared" si="8"/>
        <v>-3.1999999999998181</v>
      </c>
      <c r="AD118" s="8">
        <f t="shared" si="9"/>
        <v>-6.9618187751546129E-2</v>
      </c>
      <c r="AF118" s="13">
        <v>44542</v>
      </c>
      <c r="AG118" s="8">
        <v>3502.4</v>
      </c>
      <c r="AH118" s="8">
        <f t="shared" si="10"/>
        <v>-207.59999999999991</v>
      </c>
      <c r="AI118" s="8">
        <f t="shared" si="11"/>
        <v>-5.5956873315363858</v>
      </c>
      <c r="AK118" s="13">
        <v>44542</v>
      </c>
      <c r="AL118" s="8">
        <v>372.2</v>
      </c>
      <c r="AM118" s="8">
        <f t="shared" si="12"/>
        <v>5.3499999999999659</v>
      </c>
      <c r="AN118" s="8">
        <f t="shared" si="13"/>
        <v>1.4583617282267862</v>
      </c>
    </row>
    <row r="119" spans="2:40" x14ac:dyDescent="0.35">
      <c r="B119" s="13">
        <v>44535</v>
      </c>
      <c r="C119" s="8">
        <v>751.8</v>
      </c>
      <c r="D119" s="8">
        <f t="shared" si="0"/>
        <v>-15.5</v>
      </c>
      <c r="E119" s="8">
        <f t="shared" si="1"/>
        <v>-2.0200703766453798</v>
      </c>
      <c r="G119" s="16">
        <v>44535</v>
      </c>
      <c r="H119" s="14">
        <v>4757.05</v>
      </c>
      <c r="I119" s="8">
        <v>-180.75</v>
      </c>
      <c r="J119" s="8">
        <v>-3.6605370810000002</v>
      </c>
      <c r="L119" s="13">
        <v>44535</v>
      </c>
      <c r="M119" s="8">
        <v>1731.05</v>
      </c>
      <c r="N119" s="8">
        <f t="shared" si="2"/>
        <v>27.399999999999864</v>
      </c>
      <c r="O119" s="8">
        <f t="shared" si="3"/>
        <v>1.608311566342844</v>
      </c>
      <c r="Q119" s="13">
        <v>44535</v>
      </c>
      <c r="R119" s="8">
        <v>18997.7</v>
      </c>
      <c r="S119" s="8">
        <f t="shared" si="14"/>
        <v>-583.5</v>
      </c>
      <c r="T119" s="8">
        <f t="shared" si="15"/>
        <v>-2.9798990868792514</v>
      </c>
      <c r="V119" s="13">
        <v>44535</v>
      </c>
      <c r="W119" s="8">
        <v>912.05</v>
      </c>
      <c r="X119" s="8">
        <f t="shared" si="6"/>
        <v>-54.650000000000091</v>
      </c>
      <c r="Y119" s="8">
        <f t="shared" si="7"/>
        <v>-5.6532533360918684</v>
      </c>
      <c r="AA119" s="13">
        <v>44535</v>
      </c>
      <c r="AB119" s="8">
        <v>4596.5</v>
      </c>
      <c r="AC119" s="8">
        <f t="shared" si="8"/>
        <v>-154.39999999999964</v>
      </c>
      <c r="AD119" s="8">
        <f t="shared" si="9"/>
        <v>-3.2499105432654791</v>
      </c>
      <c r="AF119" s="13">
        <v>44535</v>
      </c>
      <c r="AG119" s="8">
        <v>3710</v>
      </c>
      <c r="AH119" s="8">
        <f t="shared" si="10"/>
        <v>52.900000000000091</v>
      </c>
      <c r="AI119" s="8">
        <f t="shared" si="11"/>
        <v>1.4465013261874189</v>
      </c>
      <c r="AK119" s="13">
        <v>44535</v>
      </c>
      <c r="AL119" s="8">
        <v>366.85</v>
      </c>
      <c r="AM119" s="8">
        <f t="shared" si="12"/>
        <v>4.0500000000000114</v>
      </c>
      <c r="AN119" s="8">
        <f t="shared" si="13"/>
        <v>1.1163175303197386</v>
      </c>
    </row>
    <row r="120" spans="2:40" x14ac:dyDescent="0.35">
      <c r="B120" s="13">
        <v>44528</v>
      </c>
      <c r="C120" s="8">
        <v>767.3</v>
      </c>
      <c r="D120" s="8">
        <f t="shared" si="0"/>
        <v>-23.350000000000023</v>
      </c>
      <c r="E120" s="8">
        <f t="shared" si="1"/>
        <v>-2.9532662998798487</v>
      </c>
      <c r="G120" s="16">
        <v>44528</v>
      </c>
      <c r="H120" s="14">
        <v>4937.8</v>
      </c>
      <c r="I120" s="8">
        <v>152.19999999999999</v>
      </c>
      <c r="J120" s="8">
        <v>3.1803744570000001</v>
      </c>
      <c r="L120" s="13">
        <v>44528</v>
      </c>
      <c r="M120" s="8">
        <v>1703.65</v>
      </c>
      <c r="N120" s="8">
        <f t="shared" si="2"/>
        <v>63.950000000000045</v>
      </c>
      <c r="O120" s="8">
        <f t="shared" si="3"/>
        <v>3.9001036775019848</v>
      </c>
      <c r="Q120" s="13">
        <v>44528</v>
      </c>
      <c r="R120" s="8">
        <v>19581.2</v>
      </c>
      <c r="S120" s="8">
        <f t="shared" si="14"/>
        <v>-21.299999999999272</v>
      </c>
      <c r="T120" s="8">
        <f t="shared" si="15"/>
        <v>-0.10865960974365144</v>
      </c>
      <c r="V120" s="13">
        <v>44528</v>
      </c>
      <c r="W120" s="8">
        <v>966.7</v>
      </c>
      <c r="X120" s="8">
        <f t="shared" si="6"/>
        <v>74.400000000000091</v>
      </c>
      <c r="Y120" s="8">
        <f t="shared" si="7"/>
        <v>8.338002913818233</v>
      </c>
      <c r="AA120" s="13">
        <v>44528</v>
      </c>
      <c r="AB120" s="8">
        <v>4750.8999999999996</v>
      </c>
      <c r="AC120" s="8">
        <f t="shared" si="8"/>
        <v>79.449999999999818</v>
      </c>
      <c r="AD120" s="8">
        <f t="shared" si="9"/>
        <v>1.7007567243575297</v>
      </c>
      <c r="AF120" s="13">
        <v>44528</v>
      </c>
      <c r="AG120" s="8">
        <v>3657.1</v>
      </c>
      <c r="AH120" s="8">
        <f t="shared" si="10"/>
        <v>53.049999999999727</v>
      </c>
      <c r="AI120" s="8">
        <f t="shared" si="11"/>
        <v>1.4719551615543549</v>
      </c>
      <c r="AK120" s="13">
        <v>44528</v>
      </c>
      <c r="AL120" s="8">
        <v>362.8</v>
      </c>
      <c r="AM120" s="8">
        <f t="shared" si="12"/>
        <v>-4.1499999999999773</v>
      </c>
      <c r="AN120" s="8">
        <f t="shared" si="13"/>
        <v>-1.130944270336552</v>
      </c>
    </row>
    <row r="121" spans="2:40" x14ac:dyDescent="0.35">
      <c r="B121" s="13">
        <v>44521</v>
      </c>
      <c r="C121" s="8">
        <v>790.65</v>
      </c>
      <c r="D121" s="8">
        <f t="shared" si="0"/>
        <v>-15.850000000000023</v>
      </c>
      <c r="E121" s="8">
        <f t="shared" si="1"/>
        <v>-1.9652820830750184</v>
      </c>
      <c r="G121" s="16">
        <v>44521</v>
      </c>
      <c r="H121" s="14">
        <v>4785.6000000000004</v>
      </c>
      <c r="I121" s="8">
        <v>-58.2</v>
      </c>
      <c r="J121" s="8">
        <v>-1.2015359839999999</v>
      </c>
      <c r="L121" s="13">
        <v>44521</v>
      </c>
      <c r="M121" s="8">
        <v>1639.7</v>
      </c>
      <c r="N121" s="8">
        <f t="shared" si="2"/>
        <v>27.350000000000136</v>
      </c>
      <c r="O121" s="8">
        <f t="shared" si="3"/>
        <v>1.6962818246658689</v>
      </c>
      <c r="Q121" s="13">
        <v>44521</v>
      </c>
      <c r="R121" s="8">
        <v>19602.5</v>
      </c>
      <c r="S121" s="8">
        <f t="shared" si="14"/>
        <v>-152.15000000000146</v>
      </c>
      <c r="T121" s="8">
        <f t="shared" si="15"/>
        <v>-0.77019840898219627</v>
      </c>
      <c r="V121" s="13">
        <v>44521</v>
      </c>
      <c r="W121" s="8">
        <v>892.3</v>
      </c>
      <c r="X121" s="8">
        <f t="shared" si="6"/>
        <v>-23.650000000000091</v>
      </c>
      <c r="Y121" s="8">
        <f t="shared" si="7"/>
        <v>-2.5820186691413385</v>
      </c>
      <c r="AA121" s="13">
        <v>44521</v>
      </c>
      <c r="AB121" s="8">
        <v>4671.45</v>
      </c>
      <c r="AC121" s="8">
        <f t="shared" si="8"/>
        <v>-171.80000000000018</v>
      </c>
      <c r="AD121" s="8">
        <f t="shared" si="9"/>
        <v>-3.5472048727610628</v>
      </c>
      <c r="AF121" s="13">
        <v>44521</v>
      </c>
      <c r="AG121" s="8">
        <v>3604.05</v>
      </c>
      <c r="AH121" s="8">
        <f t="shared" si="10"/>
        <v>-31.949999999999818</v>
      </c>
      <c r="AI121" s="8">
        <f t="shared" si="11"/>
        <v>-0.87871287128712372</v>
      </c>
      <c r="AK121" s="13">
        <v>44521</v>
      </c>
      <c r="AL121" s="8">
        <v>366.95</v>
      </c>
      <c r="AM121" s="8">
        <f t="shared" si="12"/>
        <v>20.5</v>
      </c>
      <c r="AN121" s="8">
        <f t="shared" si="13"/>
        <v>5.9171597633136095</v>
      </c>
    </row>
    <row r="122" spans="2:40" x14ac:dyDescent="0.35">
      <c r="B122" s="13">
        <v>44514</v>
      </c>
      <c r="C122" s="8">
        <v>806.5</v>
      </c>
      <c r="D122" s="8">
        <f t="shared" si="0"/>
        <v>11.049999999999955</v>
      </c>
      <c r="E122" s="8">
        <f t="shared" si="1"/>
        <v>1.3891507951473951</v>
      </c>
      <c r="G122" s="16">
        <v>44514</v>
      </c>
      <c r="H122" s="14">
        <v>4843.8</v>
      </c>
      <c r="I122" s="8">
        <v>-364.25</v>
      </c>
      <c r="J122" s="8">
        <v>-6.9939804729999997</v>
      </c>
      <c r="L122" s="13">
        <v>44514</v>
      </c>
      <c r="M122" s="8">
        <v>1612.35</v>
      </c>
      <c r="N122" s="8">
        <f t="shared" si="2"/>
        <v>-29.950000000000045</v>
      </c>
      <c r="O122" s="8">
        <f t="shared" si="3"/>
        <v>-1.8236619375266423</v>
      </c>
      <c r="Q122" s="13">
        <v>44514</v>
      </c>
      <c r="R122" s="8">
        <v>19754.650000000001</v>
      </c>
      <c r="S122" s="8">
        <f t="shared" si="14"/>
        <v>-540.39999999999782</v>
      </c>
      <c r="T122" s="8">
        <f t="shared" si="15"/>
        <v>-2.6627182490311569</v>
      </c>
      <c r="V122" s="13">
        <v>44514</v>
      </c>
      <c r="W122" s="8">
        <v>915.95</v>
      </c>
      <c r="X122" s="8">
        <f t="shared" si="6"/>
        <v>5.25</v>
      </c>
      <c r="Y122" s="8">
        <f t="shared" si="7"/>
        <v>0.57647963105303612</v>
      </c>
      <c r="AA122" s="13">
        <v>44514</v>
      </c>
      <c r="AB122" s="8">
        <v>4843.25</v>
      </c>
      <c r="AC122" s="8">
        <f t="shared" si="8"/>
        <v>77.100000000000364</v>
      </c>
      <c r="AD122" s="8">
        <f t="shared" si="9"/>
        <v>1.6176578580195833</v>
      </c>
      <c r="AF122" s="13">
        <v>44514</v>
      </c>
      <c r="AG122" s="8">
        <v>3636</v>
      </c>
      <c r="AH122" s="8">
        <f t="shared" si="10"/>
        <v>-3.5</v>
      </c>
      <c r="AI122" s="8">
        <f t="shared" si="11"/>
        <v>-9.6167055914273936E-2</v>
      </c>
      <c r="AK122" s="13">
        <v>44514</v>
      </c>
      <c r="AL122" s="8">
        <v>346.45</v>
      </c>
      <c r="AM122" s="8">
        <f t="shared" si="12"/>
        <v>-2.1999999999999886</v>
      </c>
      <c r="AN122" s="8">
        <f t="shared" si="13"/>
        <v>-0.63100530618098061</v>
      </c>
    </row>
    <row r="123" spans="2:40" x14ac:dyDescent="0.35">
      <c r="B123" s="13">
        <v>44507</v>
      </c>
      <c r="C123" s="8">
        <v>795.45</v>
      </c>
      <c r="D123" s="8">
        <f t="shared" si="0"/>
        <v>0.45000000000004547</v>
      </c>
      <c r="E123" s="8">
        <f t="shared" si="1"/>
        <v>5.6603773584911379E-2</v>
      </c>
      <c r="G123" s="16">
        <v>44507</v>
      </c>
      <c r="H123" s="14">
        <v>5208.05</v>
      </c>
      <c r="I123" s="8">
        <v>57.9</v>
      </c>
      <c r="J123" s="8">
        <v>1.1242391</v>
      </c>
      <c r="L123" s="13">
        <v>44507</v>
      </c>
      <c r="M123" s="8">
        <v>1642.3</v>
      </c>
      <c r="N123" s="8">
        <f t="shared" si="2"/>
        <v>138.34999999999991</v>
      </c>
      <c r="O123" s="8">
        <f t="shared" si="3"/>
        <v>9.1991090129326043</v>
      </c>
      <c r="Q123" s="13">
        <v>44507</v>
      </c>
      <c r="R123" s="8">
        <v>20295.05</v>
      </c>
      <c r="S123" s="8">
        <f t="shared" si="14"/>
        <v>245.64999999999782</v>
      </c>
      <c r="T123" s="8">
        <f t="shared" si="15"/>
        <v>1.2252236974672448</v>
      </c>
      <c r="V123" s="13">
        <v>44507</v>
      </c>
      <c r="W123" s="8">
        <v>910.7</v>
      </c>
      <c r="X123" s="8">
        <f t="shared" si="6"/>
        <v>5.6500000000000909</v>
      </c>
      <c r="Y123" s="8">
        <f t="shared" si="7"/>
        <v>0.62427490193912949</v>
      </c>
      <c r="AA123" s="13">
        <v>44507</v>
      </c>
      <c r="AB123" s="8">
        <v>4766.1499999999996</v>
      </c>
      <c r="AC123" s="8">
        <f t="shared" si="8"/>
        <v>106.94999999999982</v>
      </c>
      <c r="AD123" s="8">
        <f t="shared" si="9"/>
        <v>2.295458447802194</v>
      </c>
      <c r="AF123" s="13">
        <v>44507</v>
      </c>
      <c r="AG123" s="8">
        <v>3639.5</v>
      </c>
      <c r="AH123" s="8">
        <f t="shared" si="10"/>
        <v>130.65000000000009</v>
      </c>
      <c r="AI123" s="8">
        <f t="shared" si="11"/>
        <v>3.7234421534120892</v>
      </c>
      <c r="AK123" s="13">
        <v>44507</v>
      </c>
      <c r="AL123" s="8">
        <v>348.65</v>
      </c>
      <c r="AM123" s="8">
        <f t="shared" si="12"/>
        <v>-2.4500000000000455</v>
      </c>
      <c r="AN123" s="8">
        <f t="shared" si="13"/>
        <v>-0.69780689262319717</v>
      </c>
    </row>
    <row r="124" spans="2:40" x14ac:dyDescent="0.35">
      <c r="B124" s="13">
        <v>44500</v>
      </c>
      <c r="C124" s="8">
        <v>795</v>
      </c>
      <c r="D124" s="8">
        <f t="shared" si="0"/>
        <v>-17.549999999999955</v>
      </c>
      <c r="E124" s="8">
        <f t="shared" si="1"/>
        <v>-2.1598670851024497</v>
      </c>
      <c r="G124" s="16">
        <v>44500</v>
      </c>
      <c r="H124" s="14">
        <v>5150.1499999999996</v>
      </c>
      <c r="I124" s="8">
        <v>76.75</v>
      </c>
      <c r="J124" s="8">
        <v>1.51279221</v>
      </c>
      <c r="L124" s="13">
        <v>44500</v>
      </c>
      <c r="M124" s="8">
        <v>1503.95</v>
      </c>
      <c r="N124" s="8">
        <f t="shared" si="2"/>
        <v>37.850000000000136</v>
      </c>
      <c r="O124" s="8">
        <f t="shared" si="3"/>
        <v>2.5816792851783736</v>
      </c>
      <c r="Q124" s="13">
        <v>44500</v>
      </c>
      <c r="R124" s="8">
        <v>20049.400000000001</v>
      </c>
      <c r="S124" s="8">
        <f t="shared" si="14"/>
        <v>-190.14999999999782</v>
      </c>
      <c r="T124" s="8">
        <f t="shared" si="15"/>
        <v>-0.93949717261499299</v>
      </c>
      <c r="V124" s="13">
        <v>44500</v>
      </c>
      <c r="W124" s="8">
        <v>905.05</v>
      </c>
      <c r="X124" s="8">
        <f t="shared" si="6"/>
        <v>8.6999999999999318</v>
      </c>
      <c r="Y124" s="8">
        <f t="shared" si="7"/>
        <v>0.9706030010598462</v>
      </c>
      <c r="AA124" s="13">
        <v>44500</v>
      </c>
      <c r="AB124" s="8">
        <v>4659.2</v>
      </c>
      <c r="AC124" s="8">
        <f t="shared" si="8"/>
        <v>21.75</v>
      </c>
      <c r="AD124" s="8">
        <f t="shared" si="9"/>
        <v>0.469007752105144</v>
      </c>
      <c r="AF124" s="13">
        <v>44500</v>
      </c>
      <c r="AG124" s="8">
        <v>3508.85</v>
      </c>
      <c r="AH124" s="8">
        <f t="shared" si="10"/>
        <v>125.5</v>
      </c>
      <c r="AI124" s="8">
        <f t="shared" si="11"/>
        <v>3.7093413332939247</v>
      </c>
      <c r="AK124" s="13">
        <v>44500</v>
      </c>
      <c r="AL124" s="8">
        <v>351.1</v>
      </c>
      <c r="AM124" s="8">
        <f t="shared" si="12"/>
        <v>27.300000000000011</v>
      </c>
      <c r="AN124" s="8">
        <f t="shared" si="13"/>
        <v>8.4311303273625722</v>
      </c>
    </row>
    <row r="125" spans="2:40" x14ac:dyDescent="0.35">
      <c r="B125" s="13">
        <v>44493</v>
      </c>
      <c r="C125" s="8">
        <v>812.55</v>
      </c>
      <c r="D125" s="8">
        <f t="shared" si="0"/>
        <v>-28.75</v>
      </c>
      <c r="E125" s="8">
        <f t="shared" si="1"/>
        <v>-3.4173303221205278</v>
      </c>
      <c r="G125" s="16">
        <v>44493</v>
      </c>
      <c r="H125" s="14">
        <v>5073.3999999999996</v>
      </c>
      <c r="I125" s="8">
        <v>-298.75</v>
      </c>
      <c r="J125" s="8">
        <v>-5.5610882049999999</v>
      </c>
      <c r="L125" s="13">
        <v>44493</v>
      </c>
      <c r="M125" s="8">
        <v>1466.1</v>
      </c>
      <c r="N125" s="8">
        <f t="shared" si="2"/>
        <v>-15.600000000000136</v>
      </c>
      <c r="O125" s="8">
        <f t="shared" si="3"/>
        <v>-1.0528447054059618</v>
      </c>
      <c r="Q125" s="13">
        <v>44493</v>
      </c>
      <c r="R125" s="8">
        <v>20239.55</v>
      </c>
      <c r="S125" s="8">
        <f t="shared" si="14"/>
        <v>-1312</v>
      </c>
      <c r="T125" s="8">
        <f t="shared" si="15"/>
        <v>-6.0877291888518466</v>
      </c>
      <c r="V125" s="13">
        <v>44493</v>
      </c>
      <c r="W125" s="8">
        <v>896.35</v>
      </c>
      <c r="X125" s="8">
        <f t="shared" si="6"/>
        <v>-15</v>
      </c>
      <c r="Y125" s="8">
        <f t="shared" si="7"/>
        <v>-1.6459099138640478</v>
      </c>
      <c r="AA125" s="13">
        <v>44493</v>
      </c>
      <c r="AB125" s="8">
        <v>4637.45</v>
      </c>
      <c r="AC125" s="8">
        <f t="shared" si="8"/>
        <v>-321.25</v>
      </c>
      <c r="AD125" s="8">
        <f t="shared" si="9"/>
        <v>-6.4785125133603572</v>
      </c>
      <c r="AF125" s="13">
        <v>44493</v>
      </c>
      <c r="AG125" s="8">
        <v>3383.35</v>
      </c>
      <c r="AH125" s="8">
        <f t="shared" si="10"/>
        <v>-299.95000000000027</v>
      </c>
      <c r="AI125" s="8">
        <f t="shared" si="11"/>
        <v>-8.1435126109738629</v>
      </c>
      <c r="AK125" s="13">
        <v>44493</v>
      </c>
      <c r="AL125" s="8">
        <v>323.8</v>
      </c>
      <c r="AM125" s="8">
        <f t="shared" si="12"/>
        <v>-23.849999999999966</v>
      </c>
      <c r="AN125" s="8">
        <f t="shared" si="13"/>
        <v>-6.8603480512009103</v>
      </c>
    </row>
    <row r="126" spans="2:40" x14ac:dyDescent="0.35">
      <c r="B126" s="13">
        <v>44486</v>
      </c>
      <c r="C126" s="8">
        <v>841.3</v>
      </c>
      <c r="D126" s="8">
        <f t="shared" si="0"/>
        <v>19.899999999999977</v>
      </c>
      <c r="E126" s="8">
        <f t="shared" si="1"/>
        <v>2.422692963233501</v>
      </c>
      <c r="G126" s="16">
        <v>44486</v>
      </c>
      <c r="H126" s="14">
        <v>5372.15</v>
      </c>
      <c r="I126" s="8">
        <v>300.85000000000002</v>
      </c>
      <c r="J126" s="8">
        <v>5.9324039199999996</v>
      </c>
      <c r="L126" s="13">
        <v>44486</v>
      </c>
      <c r="M126" s="8">
        <v>1481.7</v>
      </c>
      <c r="N126" s="8">
        <f t="shared" si="2"/>
        <v>-7.6499999999998636</v>
      </c>
      <c r="O126" s="8">
        <f t="shared" si="3"/>
        <v>-0.51364689293986399</v>
      </c>
      <c r="Q126" s="13">
        <v>44486</v>
      </c>
      <c r="R126" s="8">
        <v>21551.55</v>
      </c>
      <c r="S126" s="8">
        <f t="shared" si="14"/>
        <v>-245.35000000000218</v>
      </c>
      <c r="T126" s="8">
        <f t="shared" si="15"/>
        <v>-1.1256187806523046</v>
      </c>
      <c r="V126" s="13">
        <v>44486</v>
      </c>
      <c r="W126" s="8">
        <v>911.35</v>
      </c>
      <c r="X126" s="8">
        <f t="shared" si="6"/>
        <v>-5.75</v>
      </c>
      <c r="Y126" s="8">
        <f t="shared" si="7"/>
        <v>-0.62697633845818335</v>
      </c>
      <c r="AA126" s="13">
        <v>44486</v>
      </c>
      <c r="AB126" s="8">
        <v>4958.7</v>
      </c>
      <c r="AC126" s="8">
        <f t="shared" si="8"/>
        <v>109.5</v>
      </c>
      <c r="AD126" s="8">
        <f t="shared" si="9"/>
        <v>2.2581044295966346</v>
      </c>
      <c r="AF126" s="13">
        <v>44486</v>
      </c>
      <c r="AG126" s="8">
        <v>3683.3</v>
      </c>
      <c r="AH126" s="8">
        <f t="shared" si="10"/>
        <v>11.400000000000091</v>
      </c>
      <c r="AI126" s="8">
        <f t="shared" si="11"/>
        <v>0.31046597129551706</v>
      </c>
      <c r="AK126" s="13">
        <v>44486</v>
      </c>
      <c r="AL126" s="8">
        <v>347.65</v>
      </c>
      <c r="AM126" s="8">
        <f t="shared" si="12"/>
        <v>-11.100000000000023</v>
      </c>
      <c r="AN126" s="8">
        <f t="shared" si="13"/>
        <v>-3.0940766550522714</v>
      </c>
    </row>
    <row r="127" spans="2:40" x14ac:dyDescent="0.35">
      <c r="B127" s="13">
        <v>44479</v>
      </c>
      <c r="C127" s="8">
        <v>821.4</v>
      </c>
      <c r="D127" s="8">
        <f t="shared" si="0"/>
        <v>-5.2000000000000455</v>
      </c>
      <c r="E127" s="8">
        <f t="shared" si="1"/>
        <v>-0.6290829905637606</v>
      </c>
      <c r="G127" s="16">
        <v>44479</v>
      </c>
      <c r="H127" s="14">
        <v>5071.3</v>
      </c>
      <c r="I127" s="8">
        <v>239</v>
      </c>
      <c r="J127" s="8">
        <v>4.9458849819999999</v>
      </c>
      <c r="L127" s="13">
        <v>44479</v>
      </c>
      <c r="M127" s="8">
        <v>1489.35</v>
      </c>
      <c r="N127" s="8">
        <f t="shared" si="2"/>
        <v>20.049999999999955</v>
      </c>
      <c r="O127" s="8">
        <f t="shared" si="3"/>
        <v>1.3645953855577455</v>
      </c>
      <c r="Q127" s="13">
        <v>44479</v>
      </c>
      <c r="R127" s="8">
        <v>21796.9</v>
      </c>
      <c r="S127" s="8">
        <f t="shared" si="14"/>
        <v>-234.34999999999854</v>
      </c>
      <c r="T127" s="8">
        <f t="shared" si="15"/>
        <v>-1.063716312056731</v>
      </c>
      <c r="V127" s="13">
        <v>44479</v>
      </c>
      <c r="W127" s="8">
        <v>917.1</v>
      </c>
      <c r="X127" s="8">
        <f t="shared" si="6"/>
        <v>-69.100000000000023</v>
      </c>
      <c r="Y127" s="8">
        <f t="shared" si="7"/>
        <v>-7.0066923544919906</v>
      </c>
      <c r="AA127" s="13">
        <v>44479</v>
      </c>
      <c r="AB127" s="8">
        <v>4849.2</v>
      </c>
      <c r="AC127" s="8">
        <f t="shared" si="8"/>
        <v>-106.65000000000055</v>
      </c>
      <c r="AD127" s="8">
        <f t="shared" si="9"/>
        <v>-2.1520021792427242</v>
      </c>
      <c r="AF127" s="13">
        <v>44479</v>
      </c>
      <c r="AG127" s="8">
        <v>3671.9</v>
      </c>
      <c r="AH127" s="8">
        <f t="shared" si="10"/>
        <v>-35.150000000000091</v>
      </c>
      <c r="AI127" s="8">
        <f t="shared" si="11"/>
        <v>-0.94819330734681451</v>
      </c>
      <c r="AK127" s="13">
        <v>44479</v>
      </c>
      <c r="AL127" s="8">
        <v>358.75</v>
      </c>
      <c r="AM127" s="8">
        <f t="shared" si="12"/>
        <v>-6.5500000000000114</v>
      </c>
      <c r="AN127" s="8">
        <f t="shared" si="13"/>
        <v>-1.7930468108404083</v>
      </c>
    </row>
    <row r="128" spans="2:40" x14ac:dyDescent="0.35">
      <c r="B128" s="13">
        <v>44472</v>
      </c>
      <c r="C128" s="8">
        <v>826.6</v>
      </c>
      <c r="D128" s="8">
        <f t="shared" si="0"/>
        <v>56.149999999999977</v>
      </c>
      <c r="E128" s="8">
        <f t="shared" si="1"/>
        <v>7.2879486014666721</v>
      </c>
      <c r="G128" s="16">
        <v>44472</v>
      </c>
      <c r="H128" s="14">
        <v>4832.3</v>
      </c>
      <c r="I128" s="8">
        <v>-276.25</v>
      </c>
      <c r="J128" s="8">
        <v>-5.407600983</v>
      </c>
      <c r="L128" s="13">
        <v>44472</v>
      </c>
      <c r="M128" s="8">
        <v>1469.3</v>
      </c>
      <c r="N128" s="8">
        <f t="shared" si="2"/>
        <v>-28.950000000000045</v>
      </c>
      <c r="O128" s="8">
        <f t="shared" si="3"/>
        <v>-1.9322542966794625</v>
      </c>
      <c r="Q128" s="13">
        <v>44472</v>
      </c>
      <c r="R128" s="8">
        <v>22031.25</v>
      </c>
      <c r="S128" s="8">
        <f t="shared" si="14"/>
        <v>826.29999999999927</v>
      </c>
      <c r="T128" s="8">
        <f t="shared" si="15"/>
        <v>3.8967316593531192</v>
      </c>
      <c r="V128" s="13">
        <v>44472</v>
      </c>
      <c r="W128" s="8">
        <v>986.2</v>
      </c>
      <c r="X128" s="8">
        <f t="shared" si="6"/>
        <v>18.550000000000068</v>
      </c>
      <c r="Y128" s="8">
        <f t="shared" si="7"/>
        <v>1.9170154498010716</v>
      </c>
      <c r="AA128" s="13">
        <v>44472</v>
      </c>
      <c r="AB128" s="8">
        <v>4955.8500000000004</v>
      </c>
      <c r="AC128" s="8">
        <f t="shared" si="8"/>
        <v>165.5</v>
      </c>
      <c r="AD128" s="8">
        <f t="shared" si="9"/>
        <v>3.454862379575605</v>
      </c>
      <c r="AF128" s="13">
        <v>44472</v>
      </c>
      <c r="AG128" s="8">
        <v>3707.05</v>
      </c>
      <c r="AH128" s="8">
        <f t="shared" si="10"/>
        <v>-182.59999999999991</v>
      </c>
      <c r="AI128" s="8">
        <f t="shared" si="11"/>
        <v>-4.6945097887984764</v>
      </c>
      <c r="AK128" s="13">
        <v>44472</v>
      </c>
      <c r="AL128" s="8">
        <v>365.3</v>
      </c>
      <c r="AM128" s="8">
        <f t="shared" si="12"/>
        <v>5.1500000000000341</v>
      </c>
      <c r="AN128" s="8">
        <f t="shared" si="13"/>
        <v>1.4299597389976495</v>
      </c>
    </row>
    <row r="129" spans="2:40" x14ac:dyDescent="0.35">
      <c r="B129" s="13">
        <v>44465</v>
      </c>
      <c r="C129" s="8">
        <v>770.45</v>
      </c>
      <c r="D129" s="8">
        <f t="shared" si="0"/>
        <v>0.55000000000006821</v>
      </c>
      <c r="E129" s="8">
        <f t="shared" si="1"/>
        <v>7.1437849071316825E-2</v>
      </c>
      <c r="G129" s="16">
        <v>44465</v>
      </c>
      <c r="H129" s="14">
        <v>5108.55</v>
      </c>
      <c r="I129" s="8">
        <v>-14.25</v>
      </c>
      <c r="J129" s="8">
        <v>-0.27816818929999998</v>
      </c>
      <c r="L129" s="13">
        <v>44465</v>
      </c>
      <c r="M129" s="8">
        <v>1498.25</v>
      </c>
      <c r="N129" s="8">
        <f t="shared" si="2"/>
        <v>-40.700000000000045</v>
      </c>
      <c r="O129" s="8">
        <f t="shared" si="3"/>
        <v>-2.6446603203482923</v>
      </c>
      <c r="Q129" s="13">
        <v>44465</v>
      </c>
      <c r="R129" s="8">
        <v>21204.95</v>
      </c>
      <c r="S129" s="8">
        <f t="shared" si="14"/>
        <v>724.35000000000218</v>
      </c>
      <c r="T129" s="8">
        <f t="shared" si="15"/>
        <v>3.5367616183119743</v>
      </c>
      <c r="V129" s="13">
        <v>44465</v>
      </c>
      <c r="W129" s="8">
        <v>967.65</v>
      </c>
      <c r="X129" s="8">
        <f t="shared" si="6"/>
        <v>13.600000000000023</v>
      </c>
      <c r="Y129" s="8">
        <f t="shared" si="7"/>
        <v>1.42550180808134</v>
      </c>
      <c r="AA129" s="13">
        <v>44465</v>
      </c>
      <c r="AB129" s="8">
        <v>4790.3500000000004</v>
      </c>
      <c r="AC129" s="8">
        <f t="shared" si="8"/>
        <v>-94.199999999999818</v>
      </c>
      <c r="AD129" s="8">
        <f t="shared" si="9"/>
        <v>-1.9285297519730542</v>
      </c>
      <c r="AF129" s="13">
        <v>44465</v>
      </c>
      <c r="AG129" s="8">
        <v>3889.65</v>
      </c>
      <c r="AH129" s="8">
        <f t="shared" si="10"/>
        <v>-91.5</v>
      </c>
      <c r="AI129" s="8">
        <f t="shared" si="11"/>
        <v>-2.298330884292227</v>
      </c>
      <c r="AK129" s="13">
        <v>44465</v>
      </c>
      <c r="AL129" s="8">
        <v>360.15</v>
      </c>
      <c r="AM129" s="8">
        <f t="shared" si="12"/>
        <v>-17.25</v>
      </c>
      <c r="AN129" s="8">
        <f t="shared" si="13"/>
        <v>-4.5707472178060415</v>
      </c>
    </row>
    <row r="130" spans="2:40" x14ac:dyDescent="0.35">
      <c r="B130" s="13">
        <v>44458</v>
      </c>
      <c r="C130" s="8">
        <v>769.9</v>
      </c>
      <c r="D130" s="8">
        <f t="shared" si="0"/>
        <v>-6.3999999999999773</v>
      </c>
      <c r="E130" s="8">
        <f t="shared" si="1"/>
        <v>-0.82442354759757541</v>
      </c>
      <c r="G130" s="16">
        <v>44458</v>
      </c>
      <c r="H130" s="14">
        <v>5122.8</v>
      </c>
      <c r="I130" s="8">
        <v>67.900000000000006</v>
      </c>
      <c r="J130" s="8">
        <v>1.3432511030000001</v>
      </c>
      <c r="L130" s="13">
        <v>44458</v>
      </c>
      <c r="M130" s="8">
        <v>1538.95</v>
      </c>
      <c r="N130" s="8">
        <f t="shared" si="2"/>
        <v>11.900000000000091</v>
      </c>
      <c r="O130" s="8">
        <f t="shared" si="3"/>
        <v>0.77928031171213064</v>
      </c>
      <c r="Q130" s="13">
        <v>44458</v>
      </c>
      <c r="R130" s="8">
        <v>20480.599999999999</v>
      </c>
      <c r="S130" s="8">
        <f t="shared" si="14"/>
        <v>-226.30000000000291</v>
      </c>
      <c r="T130" s="8">
        <f t="shared" si="15"/>
        <v>-1.0928724241678034</v>
      </c>
      <c r="V130" s="13">
        <v>44458</v>
      </c>
      <c r="W130" s="8">
        <v>954.05</v>
      </c>
      <c r="X130" s="8">
        <f t="shared" si="6"/>
        <v>4.75</v>
      </c>
      <c r="Y130" s="8">
        <f t="shared" si="7"/>
        <v>0.5003686927209523</v>
      </c>
      <c r="AA130" s="13">
        <v>44458</v>
      </c>
      <c r="AB130" s="8">
        <v>4884.55</v>
      </c>
      <c r="AC130" s="8">
        <f t="shared" si="8"/>
        <v>-27.5</v>
      </c>
      <c r="AD130" s="8">
        <f t="shared" si="9"/>
        <v>-0.55984772141977379</v>
      </c>
      <c r="AF130" s="13">
        <v>44458</v>
      </c>
      <c r="AG130" s="8">
        <v>3981.15</v>
      </c>
      <c r="AH130" s="8">
        <f t="shared" si="10"/>
        <v>-136.24999999999955</v>
      </c>
      <c r="AI130" s="8">
        <f t="shared" si="11"/>
        <v>-3.3091271190557041</v>
      </c>
      <c r="AK130" s="13">
        <v>44458</v>
      </c>
      <c r="AL130" s="8">
        <v>377.4</v>
      </c>
      <c r="AM130" s="8">
        <f t="shared" si="12"/>
        <v>24.649999999999977</v>
      </c>
      <c r="AN130" s="8">
        <f t="shared" si="13"/>
        <v>6.9879518072289093</v>
      </c>
    </row>
    <row r="131" spans="2:40" x14ac:dyDescent="0.35">
      <c r="B131" s="13">
        <v>44451</v>
      </c>
      <c r="C131" s="8">
        <v>776.3</v>
      </c>
      <c r="D131" s="8">
        <f t="shared" si="0"/>
        <v>-13.100000000000023</v>
      </c>
      <c r="E131" s="8">
        <f t="shared" si="1"/>
        <v>-1.6594882189004336</v>
      </c>
      <c r="G131" s="16">
        <v>44451</v>
      </c>
      <c r="H131" s="14">
        <v>5054.8999999999996</v>
      </c>
      <c r="I131" s="8">
        <v>-153.4</v>
      </c>
      <c r="J131" s="8">
        <v>-2.9452988499999999</v>
      </c>
      <c r="L131" s="13">
        <v>44451</v>
      </c>
      <c r="M131" s="8">
        <v>1527.05</v>
      </c>
      <c r="N131" s="8">
        <f t="shared" si="2"/>
        <v>15.700000000000045</v>
      </c>
      <c r="O131" s="8">
        <f t="shared" si="3"/>
        <v>1.0388063651702151</v>
      </c>
      <c r="Q131" s="13">
        <v>44451</v>
      </c>
      <c r="R131" s="8">
        <v>20706.900000000001</v>
      </c>
      <c r="S131" s="8">
        <f t="shared" si="14"/>
        <v>856.10000000000218</v>
      </c>
      <c r="T131" s="8">
        <f t="shared" si="15"/>
        <v>4.3126725371269785</v>
      </c>
      <c r="V131" s="13">
        <v>44451</v>
      </c>
      <c r="W131" s="8">
        <v>949.3</v>
      </c>
      <c r="X131" s="8">
        <f t="shared" si="6"/>
        <v>8.1999999999999318</v>
      </c>
      <c r="Y131" s="8">
        <f t="shared" si="7"/>
        <v>0.87132079481457136</v>
      </c>
      <c r="AA131" s="13">
        <v>44451</v>
      </c>
      <c r="AB131" s="8">
        <v>4912.05</v>
      </c>
      <c r="AC131" s="8">
        <f t="shared" si="8"/>
        <v>13.5</v>
      </c>
      <c r="AD131" s="8">
        <f t="shared" si="9"/>
        <v>0.27559175674434272</v>
      </c>
      <c r="AF131" s="13">
        <v>44451</v>
      </c>
      <c r="AG131" s="8">
        <v>4117.3999999999996</v>
      </c>
      <c r="AH131" s="8">
        <f t="shared" si="10"/>
        <v>23.449999999999818</v>
      </c>
      <c r="AI131" s="8">
        <f t="shared" si="11"/>
        <v>0.57279644353252535</v>
      </c>
      <c r="AK131" s="13">
        <v>44451</v>
      </c>
      <c r="AL131" s="8">
        <v>352.75</v>
      </c>
      <c r="AM131" s="8">
        <f t="shared" si="12"/>
        <v>-10.75</v>
      </c>
      <c r="AN131" s="8">
        <f t="shared" si="13"/>
        <v>-2.9573590096286106</v>
      </c>
    </row>
    <row r="132" spans="2:40" x14ac:dyDescent="0.35">
      <c r="B132" s="13">
        <v>44444</v>
      </c>
      <c r="C132" s="8">
        <v>789.4</v>
      </c>
      <c r="D132" s="8">
        <f t="shared" si="0"/>
        <v>17.600000000000023</v>
      </c>
      <c r="E132" s="8">
        <f t="shared" si="1"/>
        <v>2.2803835190463881</v>
      </c>
      <c r="G132" s="16">
        <v>44444</v>
      </c>
      <c r="H132" s="14">
        <v>5208.3</v>
      </c>
      <c r="I132" s="8">
        <v>297.60000000000002</v>
      </c>
      <c r="J132" s="8">
        <v>6.0602358120000002</v>
      </c>
      <c r="L132" s="13">
        <v>44444</v>
      </c>
      <c r="M132" s="8">
        <v>1511.35</v>
      </c>
      <c r="N132" s="8">
        <f t="shared" si="2"/>
        <v>-4.3000000000001819</v>
      </c>
      <c r="O132" s="8">
        <f t="shared" si="3"/>
        <v>-0.28370666050870463</v>
      </c>
      <c r="Q132" s="13">
        <v>44444</v>
      </c>
      <c r="R132" s="8">
        <v>19850.8</v>
      </c>
      <c r="S132" s="8">
        <f t="shared" si="14"/>
        <v>822</v>
      </c>
      <c r="T132" s="8">
        <f t="shared" si="15"/>
        <v>4.319767930715547</v>
      </c>
      <c r="V132" s="13">
        <v>44444</v>
      </c>
      <c r="W132" s="8">
        <v>941.1</v>
      </c>
      <c r="X132" s="8">
        <f t="shared" si="6"/>
        <v>17.200000000000045</v>
      </c>
      <c r="Y132" s="8">
        <f t="shared" si="7"/>
        <v>1.8616733412707052</v>
      </c>
      <c r="AA132" s="13">
        <v>44444</v>
      </c>
      <c r="AB132" s="8">
        <v>4898.55</v>
      </c>
      <c r="AC132" s="8">
        <f t="shared" si="8"/>
        <v>298</v>
      </c>
      <c r="AD132" s="8">
        <f t="shared" si="9"/>
        <v>6.4774863874971471</v>
      </c>
      <c r="AF132" s="13">
        <v>44444</v>
      </c>
      <c r="AG132" s="8">
        <v>4093.95</v>
      </c>
      <c r="AH132" s="8">
        <f t="shared" si="10"/>
        <v>268.75</v>
      </c>
      <c r="AI132" s="8">
        <f t="shared" si="11"/>
        <v>7.0257764299905894</v>
      </c>
      <c r="AK132" s="13">
        <v>44444</v>
      </c>
      <c r="AL132" s="8">
        <v>363.5</v>
      </c>
      <c r="AM132" s="8">
        <f t="shared" si="12"/>
        <v>16.800000000000011</v>
      </c>
      <c r="AN132" s="8">
        <f t="shared" si="13"/>
        <v>4.8456879146235972</v>
      </c>
    </row>
    <row r="133" spans="2:40" x14ac:dyDescent="0.35">
      <c r="B133" s="13">
        <v>44437</v>
      </c>
      <c r="C133" s="8">
        <v>771.8</v>
      </c>
      <c r="D133" s="8">
        <f t="shared" si="0"/>
        <v>10.649999999999977</v>
      </c>
      <c r="E133" s="8">
        <f t="shared" si="1"/>
        <v>1.3991985810943937</v>
      </c>
      <c r="G133" s="16">
        <v>44437</v>
      </c>
      <c r="H133" s="14">
        <v>4910.7</v>
      </c>
      <c r="I133" s="8">
        <v>92</v>
      </c>
      <c r="J133" s="8">
        <v>1.9092286300000001</v>
      </c>
      <c r="L133" s="13">
        <v>44437</v>
      </c>
      <c r="M133" s="8">
        <v>1515.65</v>
      </c>
      <c r="N133" s="8">
        <f t="shared" si="2"/>
        <v>-47.099999999999909</v>
      </c>
      <c r="O133" s="8">
        <f t="shared" si="3"/>
        <v>-3.0139177731562894</v>
      </c>
      <c r="Q133" s="13">
        <v>44437</v>
      </c>
      <c r="R133" s="8">
        <v>19028.8</v>
      </c>
      <c r="S133" s="8">
        <f t="shared" si="14"/>
        <v>-45.600000000002183</v>
      </c>
      <c r="T133" s="8">
        <f t="shared" si="15"/>
        <v>-0.23906387619008818</v>
      </c>
      <c r="V133" s="13">
        <v>44437</v>
      </c>
      <c r="W133" s="8">
        <v>923.9</v>
      </c>
      <c r="X133" s="8">
        <f t="shared" si="6"/>
        <v>33.049999999999955</v>
      </c>
      <c r="Y133" s="8">
        <f t="shared" si="7"/>
        <v>3.7099399449963464</v>
      </c>
      <c r="AA133" s="13">
        <v>44437</v>
      </c>
      <c r="AB133" s="8">
        <v>4600.55</v>
      </c>
      <c r="AC133" s="8">
        <f t="shared" si="8"/>
        <v>44.550000000000182</v>
      </c>
      <c r="AD133" s="8">
        <f t="shared" si="9"/>
        <v>0.97783143107989867</v>
      </c>
      <c r="AF133" s="13">
        <v>44437</v>
      </c>
      <c r="AG133" s="8">
        <v>3825.2</v>
      </c>
      <c r="AH133" s="8">
        <f t="shared" si="10"/>
        <v>-27.450000000000273</v>
      </c>
      <c r="AI133" s="8">
        <f t="shared" si="11"/>
        <v>-0.71249659325400105</v>
      </c>
      <c r="AK133" s="13">
        <v>44437</v>
      </c>
      <c r="AL133" s="8">
        <v>346.7</v>
      </c>
      <c r="AM133" s="8">
        <f t="shared" si="12"/>
        <v>-10.650000000000034</v>
      </c>
      <c r="AN133" s="8">
        <f t="shared" si="13"/>
        <v>-2.9802714425633225</v>
      </c>
    </row>
    <row r="134" spans="2:40" x14ac:dyDescent="0.35">
      <c r="B134" s="13">
        <v>44430</v>
      </c>
      <c r="C134" s="8">
        <v>761.15</v>
      </c>
      <c r="D134" s="8">
        <f t="shared" si="0"/>
        <v>-17.149999999999977</v>
      </c>
      <c r="E134" s="8">
        <f t="shared" si="1"/>
        <v>-2.2035204933830115</v>
      </c>
      <c r="G134" s="16">
        <v>44430</v>
      </c>
      <c r="H134" s="14">
        <v>4818.7</v>
      </c>
      <c r="I134" s="8">
        <v>-130</v>
      </c>
      <c r="J134" s="8">
        <v>-2.6269525329999999</v>
      </c>
      <c r="L134" s="13">
        <v>44430</v>
      </c>
      <c r="M134" s="8">
        <v>1562.75</v>
      </c>
      <c r="N134" s="8">
        <f t="shared" si="2"/>
        <v>-43.950000000000045</v>
      </c>
      <c r="O134" s="8">
        <f t="shared" si="3"/>
        <v>-2.735420426962099</v>
      </c>
      <c r="Q134" s="13">
        <v>44430</v>
      </c>
      <c r="R134" s="8">
        <v>19074.400000000001</v>
      </c>
      <c r="S134" s="8">
        <f t="shared" si="14"/>
        <v>63.850000000002183</v>
      </c>
      <c r="T134" s="8">
        <f t="shared" si="15"/>
        <v>0.33586613748682803</v>
      </c>
      <c r="V134" s="13">
        <v>44430</v>
      </c>
      <c r="W134" s="8">
        <v>890.85</v>
      </c>
      <c r="X134" s="8">
        <f t="shared" si="6"/>
        <v>-3.5499999999999545</v>
      </c>
      <c r="Y134" s="8">
        <f t="shared" si="7"/>
        <v>-0.39691413237924361</v>
      </c>
      <c r="AA134" s="13">
        <v>44430</v>
      </c>
      <c r="AB134" s="8">
        <v>4556</v>
      </c>
      <c r="AC134" s="8">
        <f t="shared" si="8"/>
        <v>-96.199999999999818</v>
      </c>
      <c r="AD134" s="8">
        <f t="shared" si="9"/>
        <v>-2.0678388719315555</v>
      </c>
      <c r="AF134" s="13">
        <v>44430</v>
      </c>
      <c r="AG134" s="8">
        <v>3852.65</v>
      </c>
      <c r="AH134" s="8">
        <f t="shared" si="10"/>
        <v>32.400000000000091</v>
      </c>
      <c r="AI134" s="8">
        <f t="shared" si="11"/>
        <v>0.84811203455271489</v>
      </c>
      <c r="AK134" s="13">
        <v>44430</v>
      </c>
      <c r="AL134" s="8">
        <v>357.35</v>
      </c>
      <c r="AM134" s="8">
        <f t="shared" si="12"/>
        <v>-14.049999999999955</v>
      </c>
      <c r="AN134" s="8">
        <f t="shared" si="13"/>
        <v>-3.7829833064081733</v>
      </c>
    </row>
    <row r="135" spans="2:40" x14ac:dyDescent="0.35">
      <c r="B135" s="13">
        <v>44423</v>
      </c>
      <c r="C135" s="8">
        <v>778.3</v>
      </c>
      <c r="D135" s="8">
        <f t="shared" si="0"/>
        <v>-6.9000000000000909</v>
      </c>
      <c r="E135" s="8">
        <f t="shared" si="1"/>
        <v>-0.87875700458483064</v>
      </c>
      <c r="G135" s="16">
        <v>44423</v>
      </c>
      <c r="H135" s="14">
        <v>4948.7</v>
      </c>
      <c r="I135" s="8">
        <v>32.700000000000003</v>
      </c>
      <c r="J135" s="8">
        <v>0.66517493900000002</v>
      </c>
      <c r="L135" s="13">
        <v>44423</v>
      </c>
      <c r="M135" s="8">
        <v>1606.7</v>
      </c>
      <c r="N135" s="8">
        <f t="shared" si="2"/>
        <v>-39.200000000000045</v>
      </c>
      <c r="O135" s="8">
        <f t="shared" si="3"/>
        <v>-2.3816756789598421</v>
      </c>
      <c r="Q135" s="13">
        <v>44423</v>
      </c>
      <c r="R135" s="8">
        <v>19010.55</v>
      </c>
      <c r="S135" s="8">
        <f t="shared" si="14"/>
        <v>1504.5</v>
      </c>
      <c r="T135" s="8">
        <f t="shared" si="15"/>
        <v>8.5941717292021913</v>
      </c>
      <c r="V135" s="13">
        <v>44423</v>
      </c>
      <c r="W135" s="8">
        <v>894.4</v>
      </c>
      <c r="X135" s="8">
        <f t="shared" si="6"/>
        <v>-16.899999999999977</v>
      </c>
      <c r="Y135" s="8">
        <f t="shared" si="7"/>
        <v>-1.8544935805991416</v>
      </c>
      <c r="AA135" s="13">
        <v>44423</v>
      </c>
      <c r="AB135" s="8">
        <v>4652.2</v>
      </c>
      <c r="AC135" s="8">
        <f t="shared" si="8"/>
        <v>-134.10000000000036</v>
      </c>
      <c r="AD135" s="8">
        <f t="shared" si="9"/>
        <v>-2.8017466519023122</v>
      </c>
      <c r="AF135" s="13">
        <v>44423</v>
      </c>
      <c r="AG135" s="8">
        <v>3820.25</v>
      </c>
      <c r="AH135" s="8">
        <f t="shared" si="10"/>
        <v>-142.84999999999991</v>
      </c>
      <c r="AI135" s="8">
        <f t="shared" si="11"/>
        <v>-3.6045015265827236</v>
      </c>
      <c r="AK135" s="13">
        <v>44423</v>
      </c>
      <c r="AL135" s="8">
        <v>371.4</v>
      </c>
      <c r="AM135" s="8">
        <f t="shared" si="12"/>
        <v>-12.200000000000045</v>
      </c>
      <c r="AN135" s="8">
        <f t="shared" si="13"/>
        <v>-3.1803962460896886</v>
      </c>
    </row>
    <row r="136" spans="2:40" x14ac:dyDescent="0.35">
      <c r="B136" s="13">
        <v>44416</v>
      </c>
      <c r="C136" s="8">
        <v>785.2</v>
      </c>
      <c r="D136" s="8">
        <f t="shared" si="0"/>
        <v>11.25</v>
      </c>
      <c r="E136" s="8">
        <f t="shared" si="1"/>
        <v>1.4535822727566379</v>
      </c>
      <c r="G136" s="16">
        <v>44416</v>
      </c>
      <c r="H136" s="14">
        <v>4916</v>
      </c>
      <c r="I136" s="8">
        <v>9.9</v>
      </c>
      <c r="J136" s="8">
        <v>0.2017896089</v>
      </c>
      <c r="L136" s="13">
        <v>44416</v>
      </c>
      <c r="M136" s="8">
        <v>1645.9</v>
      </c>
      <c r="N136" s="8">
        <f t="shared" si="2"/>
        <v>38.150000000000091</v>
      </c>
      <c r="O136" s="8">
        <f t="shared" si="3"/>
        <v>2.3728813559322091</v>
      </c>
      <c r="Q136" s="13">
        <v>44416</v>
      </c>
      <c r="R136" s="8">
        <v>17506.05</v>
      </c>
      <c r="S136" s="8">
        <f t="shared" si="14"/>
        <v>-1506.7000000000007</v>
      </c>
      <c r="T136" s="8">
        <f t="shared" si="15"/>
        <v>-7.9246821212081393</v>
      </c>
      <c r="V136" s="13">
        <v>44416</v>
      </c>
      <c r="W136" s="8">
        <v>911.3</v>
      </c>
      <c r="X136" s="8">
        <f t="shared" si="6"/>
        <v>-8.75</v>
      </c>
      <c r="Y136" s="8">
        <f t="shared" si="7"/>
        <v>-0.95103526982229236</v>
      </c>
      <c r="AA136" s="13">
        <v>44416</v>
      </c>
      <c r="AB136" s="8">
        <v>4786.3</v>
      </c>
      <c r="AC136" s="8">
        <f t="shared" si="8"/>
        <v>75.100000000000364</v>
      </c>
      <c r="AD136" s="8">
        <f t="shared" si="9"/>
        <v>1.5940736967227112</v>
      </c>
      <c r="AF136" s="13">
        <v>44416</v>
      </c>
      <c r="AG136" s="8">
        <v>3963.1</v>
      </c>
      <c r="AH136" s="8">
        <f t="shared" si="10"/>
        <v>406.75</v>
      </c>
      <c r="AI136" s="8">
        <f t="shared" si="11"/>
        <v>11.437288230910907</v>
      </c>
      <c r="AK136" s="13">
        <v>44416</v>
      </c>
      <c r="AL136" s="8">
        <v>383.6</v>
      </c>
      <c r="AM136" s="8">
        <f t="shared" si="12"/>
        <v>-2.75</v>
      </c>
      <c r="AN136" s="8">
        <f t="shared" si="13"/>
        <v>-0.71178982787627798</v>
      </c>
    </row>
    <row r="137" spans="2:40" x14ac:dyDescent="0.35">
      <c r="B137" s="13">
        <v>44409</v>
      </c>
      <c r="C137" s="8">
        <v>773.95</v>
      </c>
      <c r="D137" s="8">
        <f t="shared" si="0"/>
        <v>79.950000000000045</v>
      </c>
      <c r="E137" s="8">
        <f t="shared" si="1"/>
        <v>11.520172910662831</v>
      </c>
      <c r="G137" s="16">
        <v>44409</v>
      </c>
      <c r="H137" s="14">
        <v>4906.1000000000004</v>
      </c>
      <c r="I137" s="8">
        <v>81.349999999999994</v>
      </c>
      <c r="J137" s="8">
        <v>1.686097725</v>
      </c>
      <c r="L137" s="13">
        <v>44409</v>
      </c>
      <c r="M137" s="8">
        <v>1607.75</v>
      </c>
      <c r="N137" s="8">
        <f t="shared" si="2"/>
        <v>-74</v>
      </c>
      <c r="O137" s="8">
        <f t="shared" si="3"/>
        <v>-4.4001783856102277</v>
      </c>
      <c r="Q137" s="13">
        <v>44409</v>
      </c>
      <c r="R137" s="8">
        <v>19012.75</v>
      </c>
      <c r="S137" s="8">
        <f t="shared" si="14"/>
        <v>1196.9000000000015</v>
      </c>
      <c r="T137" s="8">
        <f t="shared" si="15"/>
        <v>6.7181751081200254</v>
      </c>
      <c r="V137" s="13">
        <v>44409</v>
      </c>
      <c r="W137" s="8">
        <v>920.05</v>
      </c>
      <c r="X137" s="8">
        <f t="shared" si="6"/>
        <v>-27.950000000000045</v>
      </c>
      <c r="Y137" s="8">
        <f t="shared" si="7"/>
        <v>-2.9483122362869247</v>
      </c>
      <c r="AA137" s="13">
        <v>44409</v>
      </c>
      <c r="AB137" s="8">
        <v>4711.2</v>
      </c>
      <c r="AC137" s="8">
        <f t="shared" si="8"/>
        <v>-710.94999999999982</v>
      </c>
      <c r="AD137" s="8">
        <f t="shared" si="9"/>
        <v>-13.11195743385926</v>
      </c>
      <c r="AF137" s="13">
        <v>44409</v>
      </c>
      <c r="AG137" s="8">
        <v>3556.35</v>
      </c>
      <c r="AH137" s="8">
        <f t="shared" si="10"/>
        <v>114.5</v>
      </c>
      <c r="AI137" s="8">
        <f t="shared" si="11"/>
        <v>3.3266993041532897</v>
      </c>
      <c r="AK137" s="13">
        <v>44409</v>
      </c>
      <c r="AL137" s="8">
        <v>386.35</v>
      </c>
      <c r="AM137" s="8">
        <f t="shared" si="12"/>
        <v>-11.799999999999955</v>
      </c>
      <c r="AN137" s="8">
        <f t="shared" si="13"/>
        <v>-2.963707145548149</v>
      </c>
    </row>
    <row r="138" spans="2:40" x14ac:dyDescent="0.35">
      <c r="B138" s="13">
        <v>44402</v>
      </c>
      <c r="C138" s="8">
        <v>694</v>
      </c>
      <c r="D138" s="8">
        <f t="shared" si="0"/>
        <v>5.3999999999999773</v>
      </c>
      <c r="E138" s="8">
        <f t="shared" si="1"/>
        <v>0.78419982573336877</v>
      </c>
      <c r="G138" s="16">
        <v>44402</v>
      </c>
      <c r="H138" s="14">
        <v>4824.75</v>
      </c>
      <c r="I138" s="8">
        <v>67.150000000000006</v>
      </c>
      <c r="J138" s="8">
        <v>1.411425929</v>
      </c>
      <c r="L138" s="13">
        <v>44402</v>
      </c>
      <c r="M138" s="8">
        <v>1681.75</v>
      </c>
      <c r="N138" s="8">
        <f t="shared" si="2"/>
        <v>104.40000000000009</v>
      </c>
      <c r="O138" s="8">
        <f t="shared" si="3"/>
        <v>6.6186959140330366</v>
      </c>
      <c r="Q138" s="13">
        <v>44402</v>
      </c>
      <c r="R138" s="8">
        <v>17815.849999999999</v>
      </c>
      <c r="S138" s="8">
        <f t="shared" si="14"/>
        <v>331.39999999999782</v>
      </c>
      <c r="T138" s="8">
        <f t="shared" si="15"/>
        <v>1.8953984826517152</v>
      </c>
      <c r="V138" s="13">
        <v>44402</v>
      </c>
      <c r="W138" s="8">
        <v>948</v>
      </c>
      <c r="X138" s="8">
        <f t="shared" si="6"/>
        <v>-29.149999999999977</v>
      </c>
      <c r="Y138" s="8">
        <f t="shared" si="7"/>
        <v>-2.9831653277388299</v>
      </c>
      <c r="AA138" s="13">
        <v>44402</v>
      </c>
      <c r="AB138" s="8">
        <v>5422.15</v>
      </c>
      <c r="AC138" s="8">
        <f t="shared" si="8"/>
        <v>15.599999999999454</v>
      </c>
      <c r="AD138" s="8">
        <f t="shared" si="9"/>
        <v>0.28853890188751519</v>
      </c>
      <c r="AF138" s="13">
        <v>44402</v>
      </c>
      <c r="AG138" s="8">
        <v>3441.85</v>
      </c>
      <c r="AH138" s="8">
        <f t="shared" si="10"/>
        <v>25.599999999999909</v>
      </c>
      <c r="AI138" s="8">
        <f t="shared" si="11"/>
        <v>0.74935967800951064</v>
      </c>
      <c r="AK138" s="13">
        <v>44402</v>
      </c>
      <c r="AL138" s="8">
        <v>398.15</v>
      </c>
      <c r="AM138" s="8">
        <f t="shared" si="12"/>
        <v>-11.150000000000034</v>
      </c>
      <c r="AN138" s="8">
        <f t="shared" si="13"/>
        <v>-2.7241632054727667</v>
      </c>
    </row>
    <row r="139" spans="2:40" x14ac:dyDescent="0.35">
      <c r="B139" s="13">
        <v>44395</v>
      </c>
      <c r="C139" s="8">
        <v>688.6</v>
      </c>
      <c r="D139" s="8">
        <f t="shared" si="0"/>
        <v>20.700000000000045</v>
      </c>
      <c r="E139" s="8">
        <f t="shared" si="1"/>
        <v>3.0992663572391144</v>
      </c>
      <c r="G139" s="16">
        <v>44395</v>
      </c>
      <c r="H139" s="14">
        <v>4757.6000000000004</v>
      </c>
      <c r="I139" s="8">
        <v>157.9</v>
      </c>
      <c r="J139" s="8">
        <v>3.432832576</v>
      </c>
      <c r="L139" s="13">
        <v>44395</v>
      </c>
      <c r="M139" s="8">
        <v>1577.35</v>
      </c>
      <c r="N139" s="8">
        <f t="shared" si="2"/>
        <v>80.399999999999864</v>
      </c>
      <c r="O139" s="8">
        <f t="shared" si="3"/>
        <v>5.3709208724406201</v>
      </c>
      <c r="Q139" s="13">
        <v>44395</v>
      </c>
      <c r="R139" s="8">
        <v>17484.45</v>
      </c>
      <c r="S139" s="8">
        <f t="shared" si="14"/>
        <v>234.25</v>
      </c>
      <c r="T139" s="8">
        <f t="shared" si="15"/>
        <v>1.3579552700838251</v>
      </c>
      <c r="V139" s="13">
        <v>44395</v>
      </c>
      <c r="W139" s="8">
        <v>977.15</v>
      </c>
      <c r="X139" s="8">
        <f t="shared" si="6"/>
        <v>17.350000000000023</v>
      </c>
      <c r="Y139" s="8">
        <f t="shared" si="7"/>
        <v>1.8076682642217152</v>
      </c>
      <c r="AA139" s="13">
        <v>44395</v>
      </c>
      <c r="AB139" s="8">
        <v>5406.55</v>
      </c>
      <c r="AC139" s="8">
        <f t="shared" si="8"/>
        <v>-53.75</v>
      </c>
      <c r="AD139" s="8">
        <f t="shared" si="9"/>
        <v>-0.98437814772082122</v>
      </c>
      <c r="AF139" s="13">
        <v>44395</v>
      </c>
      <c r="AG139" s="8">
        <v>3416.25</v>
      </c>
      <c r="AH139" s="8">
        <f t="shared" si="10"/>
        <v>-70.300000000000182</v>
      </c>
      <c r="AI139" s="8">
        <f t="shared" si="11"/>
        <v>-2.0163198577390307</v>
      </c>
      <c r="AK139" s="13">
        <v>44395</v>
      </c>
      <c r="AL139" s="8">
        <v>409.3</v>
      </c>
      <c r="AM139" s="8">
        <f t="shared" si="12"/>
        <v>20.75</v>
      </c>
      <c r="AN139" s="8">
        <f t="shared" si="13"/>
        <v>5.34036803500193</v>
      </c>
    </row>
    <row r="140" spans="2:40" x14ac:dyDescent="0.35">
      <c r="B140" s="13">
        <v>44388</v>
      </c>
      <c r="C140" s="8">
        <v>667.9</v>
      </c>
      <c r="D140" s="8">
        <f t="shared" si="0"/>
        <v>-13.350000000000023</v>
      </c>
      <c r="E140" s="8">
        <f t="shared" si="1"/>
        <v>-1.9596330275229392</v>
      </c>
      <c r="G140" s="16">
        <v>44388</v>
      </c>
      <c r="H140" s="14">
        <v>4599.7</v>
      </c>
      <c r="I140" s="8">
        <v>80.05</v>
      </c>
      <c r="J140" s="8">
        <v>1.7711548459999999</v>
      </c>
      <c r="L140" s="13">
        <v>44388</v>
      </c>
      <c r="M140" s="8">
        <v>1496.95</v>
      </c>
      <c r="N140" s="8">
        <f t="shared" si="2"/>
        <v>-18.849999999999909</v>
      </c>
      <c r="O140" s="8">
        <f t="shared" si="3"/>
        <v>-1.2435677530017093</v>
      </c>
      <c r="Q140" s="13">
        <v>44388</v>
      </c>
      <c r="R140" s="8">
        <v>17250.2</v>
      </c>
      <c r="S140" s="8">
        <f t="shared" si="14"/>
        <v>485.54999999999927</v>
      </c>
      <c r="T140" s="8">
        <f t="shared" si="15"/>
        <v>2.8962728121374393</v>
      </c>
      <c r="V140" s="13">
        <v>44388</v>
      </c>
      <c r="W140" s="8">
        <v>959.8</v>
      </c>
      <c r="X140" s="8">
        <f t="shared" si="6"/>
        <v>-19.400000000000091</v>
      </c>
      <c r="Y140" s="8">
        <f t="shared" si="7"/>
        <v>-1.9812091503268066</v>
      </c>
      <c r="AA140" s="13">
        <v>44388</v>
      </c>
      <c r="AB140" s="8">
        <v>5460.3</v>
      </c>
      <c r="AC140" s="8">
        <f t="shared" si="8"/>
        <v>-115.39999999999964</v>
      </c>
      <c r="AD140" s="8">
        <f t="shared" si="9"/>
        <v>-2.069695284896957</v>
      </c>
      <c r="AF140" s="13">
        <v>44388</v>
      </c>
      <c r="AG140" s="8">
        <v>3486.55</v>
      </c>
      <c r="AH140" s="8">
        <f t="shared" si="10"/>
        <v>149.10000000000036</v>
      </c>
      <c r="AI140" s="8">
        <f t="shared" si="11"/>
        <v>4.46748265891625</v>
      </c>
      <c r="AK140" s="13">
        <v>44388</v>
      </c>
      <c r="AL140" s="8">
        <v>388.55</v>
      </c>
      <c r="AM140" s="8">
        <f t="shared" si="12"/>
        <v>-19.5</v>
      </c>
      <c r="AN140" s="8">
        <f t="shared" si="13"/>
        <v>-4.7788261242494787</v>
      </c>
    </row>
    <row r="141" spans="2:40" x14ac:dyDescent="0.35">
      <c r="B141" s="13">
        <v>44381</v>
      </c>
      <c r="C141" s="8">
        <v>681.25</v>
      </c>
      <c r="D141" s="8">
        <f t="shared" si="0"/>
        <v>9</v>
      </c>
      <c r="E141" s="8">
        <f t="shared" si="1"/>
        <v>1.3387876534027519</v>
      </c>
      <c r="G141" s="16">
        <v>44381</v>
      </c>
      <c r="H141" s="14">
        <v>4519.6499999999996</v>
      </c>
      <c r="I141" s="8">
        <v>270.89999999999998</v>
      </c>
      <c r="J141" s="8">
        <v>6.3759929389999996</v>
      </c>
      <c r="L141" s="13">
        <v>44381</v>
      </c>
      <c r="M141" s="8">
        <v>1515.8</v>
      </c>
      <c r="N141" s="8">
        <f t="shared" si="2"/>
        <v>1</v>
      </c>
      <c r="O141" s="8">
        <f t="shared" si="3"/>
        <v>6.6015315553208345E-2</v>
      </c>
      <c r="Q141" s="13">
        <v>44381</v>
      </c>
      <c r="R141" s="8">
        <v>16764.650000000001</v>
      </c>
      <c r="S141" s="8">
        <f t="shared" si="14"/>
        <v>293.25</v>
      </c>
      <c r="T141" s="8">
        <f t="shared" si="15"/>
        <v>1.7803586823220854</v>
      </c>
      <c r="V141" s="13">
        <v>44381</v>
      </c>
      <c r="W141" s="8">
        <v>979.2</v>
      </c>
      <c r="X141" s="8">
        <f t="shared" si="6"/>
        <v>22.100000000000023</v>
      </c>
      <c r="Y141" s="8">
        <f t="shared" si="7"/>
        <v>2.3090586145648335</v>
      </c>
      <c r="AA141" s="13">
        <v>44381</v>
      </c>
      <c r="AB141" s="8">
        <v>5575.7</v>
      </c>
      <c r="AC141" s="8">
        <f t="shared" si="8"/>
        <v>266.39999999999964</v>
      </c>
      <c r="AD141" s="8">
        <f t="shared" si="9"/>
        <v>5.017610607801398</v>
      </c>
      <c r="AF141" s="13">
        <v>44381</v>
      </c>
      <c r="AG141" s="8">
        <v>3337.45</v>
      </c>
      <c r="AH141" s="8">
        <f t="shared" si="10"/>
        <v>177.34999999999991</v>
      </c>
      <c r="AI141" s="8">
        <f t="shared" si="11"/>
        <v>5.6121641720198703</v>
      </c>
      <c r="AK141" s="13">
        <v>44381</v>
      </c>
      <c r="AL141" s="8">
        <v>408.05</v>
      </c>
      <c r="AM141" s="8">
        <f t="shared" si="12"/>
        <v>11.100000000000023</v>
      </c>
      <c r="AN141" s="8">
        <f t="shared" si="13"/>
        <v>2.7963219549061651</v>
      </c>
    </row>
    <row r="142" spans="2:40" x14ac:dyDescent="0.35">
      <c r="B142" s="13">
        <v>44374</v>
      </c>
      <c r="C142" s="8">
        <v>672.25</v>
      </c>
      <c r="D142" s="8">
        <f t="shared" si="0"/>
        <v>3.75</v>
      </c>
      <c r="E142" s="8">
        <f t="shared" si="1"/>
        <v>0.56095736724008971</v>
      </c>
      <c r="G142" s="16">
        <v>44374</v>
      </c>
      <c r="H142" s="14">
        <v>4248.75</v>
      </c>
      <c r="I142" s="8">
        <v>51.45</v>
      </c>
      <c r="J142" s="8">
        <v>1.225788007</v>
      </c>
      <c r="L142" s="13">
        <v>44374</v>
      </c>
      <c r="M142" s="8">
        <v>1514.8</v>
      </c>
      <c r="N142" s="8">
        <f t="shared" si="2"/>
        <v>-2.4000000000000909</v>
      </c>
      <c r="O142" s="8">
        <f t="shared" si="3"/>
        <v>-0.15818613234907006</v>
      </c>
      <c r="Q142" s="13">
        <v>44374</v>
      </c>
      <c r="R142" s="8">
        <v>16471.400000000001</v>
      </c>
      <c r="S142" s="8">
        <f t="shared" si="14"/>
        <v>-65.299999999999272</v>
      </c>
      <c r="T142" s="8">
        <f t="shared" si="15"/>
        <v>-0.39487926853603966</v>
      </c>
      <c r="V142" s="13">
        <v>44374</v>
      </c>
      <c r="W142" s="8">
        <v>957.1</v>
      </c>
      <c r="X142" s="8">
        <f t="shared" si="6"/>
        <v>-3.7999999999999545</v>
      </c>
      <c r="Y142" s="8">
        <f t="shared" si="7"/>
        <v>-0.39546258715786808</v>
      </c>
      <c r="AA142" s="13">
        <v>44374</v>
      </c>
      <c r="AB142" s="8">
        <v>5309.3</v>
      </c>
      <c r="AC142" s="8">
        <f t="shared" si="8"/>
        <v>25.400000000000546</v>
      </c>
      <c r="AD142" s="8">
        <f t="shared" si="9"/>
        <v>0.48070553946896322</v>
      </c>
      <c r="AF142" s="13">
        <v>44374</v>
      </c>
      <c r="AG142" s="8">
        <v>3160.1</v>
      </c>
      <c r="AH142" s="8">
        <f t="shared" si="10"/>
        <v>-16.099999999999909</v>
      </c>
      <c r="AI142" s="8">
        <f t="shared" si="11"/>
        <v>-0.5068950317990023</v>
      </c>
      <c r="AK142" s="13">
        <v>44374</v>
      </c>
      <c r="AL142" s="8">
        <v>396.95</v>
      </c>
      <c r="AM142" s="8">
        <f t="shared" si="12"/>
        <v>-2</v>
      </c>
      <c r="AN142" s="8">
        <f t="shared" si="13"/>
        <v>-0.50131595438024812</v>
      </c>
    </row>
    <row r="143" spans="2:40" x14ac:dyDescent="0.35">
      <c r="B143" s="13">
        <v>44367</v>
      </c>
      <c r="C143" s="8">
        <v>668.5</v>
      </c>
      <c r="D143" s="8">
        <f t="shared" si="0"/>
        <v>-12.799999999999955</v>
      </c>
      <c r="E143" s="8">
        <f t="shared" si="1"/>
        <v>-1.8787611918391245</v>
      </c>
      <c r="G143" s="16">
        <v>44367</v>
      </c>
      <c r="H143" s="14">
        <v>4197.3</v>
      </c>
      <c r="I143" s="8">
        <v>-137.19999999999999</v>
      </c>
      <c r="J143" s="8">
        <v>-3.16530165</v>
      </c>
      <c r="L143" s="13">
        <v>44367</v>
      </c>
      <c r="M143" s="8">
        <v>1517.2</v>
      </c>
      <c r="N143" s="8">
        <f t="shared" si="2"/>
        <v>0.15000000000009095</v>
      </c>
      <c r="O143" s="8">
        <f t="shared" si="3"/>
        <v>9.8876108236439775E-3</v>
      </c>
      <c r="Q143" s="13">
        <v>44367</v>
      </c>
      <c r="R143" s="8">
        <v>16536.7</v>
      </c>
      <c r="S143" s="8">
        <f t="shared" ref="S143:S206" si="16">IF(AND(ISNUMBER(R143),ISNUMBER(R144)), (R143 - R144), "")</f>
        <v>209.40000000000146</v>
      </c>
      <c r="T143" s="8">
        <f t="shared" ref="T143:T206" si="17">IF(AND(ISNUMBER(S143),ISNUMBER(R144)), (100*S143/ABS(R144)), "")</f>
        <v>1.2825145615012983</v>
      </c>
      <c r="V143" s="13">
        <v>44367</v>
      </c>
      <c r="W143" s="8">
        <v>960.9</v>
      </c>
      <c r="X143" s="8">
        <f t="shared" si="6"/>
        <v>-6.9500000000000455</v>
      </c>
      <c r="Y143" s="8">
        <f t="shared" si="7"/>
        <v>-0.71808648034303302</v>
      </c>
      <c r="AA143" s="13">
        <v>44367</v>
      </c>
      <c r="AB143" s="8">
        <v>5283.9</v>
      </c>
      <c r="AC143" s="8">
        <f t="shared" si="8"/>
        <v>-169.10000000000036</v>
      </c>
      <c r="AD143" s="8">
        <f t="shared" si="9"/>
        <v>-3.1010452961672539</v>
      </c>
      <c r="AF143" s="13">
        <v>44367</v>
      </c>
      <c r="AG143" s="8">
        <v>3176.2</v>
      </c>
      <c r="AH143" s="8">
        <f t="shared" si="10"/>
        <v>-38.450000000000273</v>
      </c>
      <c r="AI143" s="8">
        <f t="shared" si="11"/>
        <v>-1.1960866657334475</v>
      </c>
      <c r="AK143" s="13">
        <v>44367</v>
      </c>
      <c r="AL143" s="8">
        <v>398.95</v>
      </c>
      <c r="AM143" s="8">
        <f t="shared" si="12"/>
        <v>-16.050000000000011</v>
      </c>
      <c r="AN143" s="8">
        <f t="shared" si="13"/>
        <v>-3.8674698795180751</v>
      </c>
    </row>
    <row r="144" spans="2:40" x14ac:dyDescent="0.35">
      <c r="B144" s="13">
        <v>44360</v>
      </c>
      <c r="C144" s="8">
        <v>681.3</v>
      </c>
      <c r="D144" s="8">
        <f t="shared" si="0"/>
        <v>7.3499999999999091</v>
      </c>
      <c r="E144" s="8">
        <f t="shared" si="1"/>
        <v>1.090585354996648</v>
      </c>
      <c r="G144" s="16">
        <v>44360</v>
      </c>
      <c r="H144" s="14">
        <v>4334.5</v>
      </c>
      <c r="I144" s="8">
        <v>72.900000000000006</v>
      </c>
      <c r="J144" s="8">
        <v>1.710625117</v>
      </c>
      <c r="L144" s="13">
        <v>44360</v>
      </c>
      <c r="M144" s="8">
        <v>1517.05</v>
      </c>
      <c r="N144" s="8">
        <f t="shared" si="2"/>
        <v>9.4500000000000455</v>
      </c>
      <c r="O144" s="8">
        <f t="shared" si="3"/>
        <v>0.62682409127089722</v>
      </c>
      <c r="Q144" s="13">
        <v>44360</v>
      </c>
      <c r="R144" s="8">
        <v>16327.3</v>
      </c>
      <c r="S144" s="8">
        <f t="shared" si="16"/>
        <v>386.89999999999964</v>
      </c>
      <c r="T144" s="8">
        <f t="shared" si="17"/>
        <v>2.4271661940729192</v>
      </c>
      <c r="V144" s="13">
        <v>44360</v>
      </c>
      <c r="W144" s="8">
        <v>967.85</v>
      </c>
      <c r="X144" s="8">
        <f t="shared" si="6"/>
        <v>21.450000000000045</v>
      </c>
      <c r="Y144" s="8">
        <f t="shared" si="7"/>
        <v>2.2664835164835213</v>
      </c>
      <c r="AA144" s="13">
        <v>44360</v>
      </c>
      <c r="AB144" s="8">
        <v>5453</v>
      </c>
      <c r="AC144" s="8">
        <f t="shared" si="8"/>
        <v>198</v>
      </c>
      <c r="AD144" s="8">
        <f t="shared" si="9"/>
        <v>3.7678401522359657</v>
      </c>
      <c r="AF144" s="13">
        <v>44360</v>
      </c>
      <c r="AG144" s="8">
        <v>3214.65</v>
      </c>
      <c r="AH144" s="8">
        <f t="shared" si="10"/>
        <v>346.55000000000018</v>
      </c>
      <c r="AI144" s="8">
        <f t="shared" si="11"/>
        <v>12.082912032355921</v>
      </c>
      <c r="AK144" s="13">
        <v>44360</v>
      </c>
      <c r="AL144" s="8">
        <v>415</v>
      </c>
      <c r="AM144" s="8">
        <f t="shared" si="12"/>
        <v>30.100000000000023</v>
      </c>
      <c r="AN144" s="8">
        <f t="shared" si="13"/>
        <v>7.8202130423486684</v>
      </c>
    </row>
    <row r="145" spans="2:40" x14ac:dyDescent="0.35">
      <c r="B145" s="13">
        <v>44353</v>
      </c>
      <c r="C145" s="8">
        <v>673.95</v>
      </c>
      <c r="D145" s="8">
        <f t="shared" si="0"/>
        <v>4.2000000000000455</v>
      </c>
      <c r="E145" s="8">
        <f t="shared" si="1"/>
        <v>0.62709966405375817</v>
      </c>
      <c r="G145" s="16">
        <v>44353</v>
      </c>
      <c r="H145" s="14">
        <v>4261.6000000000004</v>
      </c>
      <c r="I145" s="8">
        <v>141.35</v>
      </c>
      <c r="J145" s="8">
        <v>3.4306170740000002</v>
      </c>
      <c r="L145" s="13">
        <v>44353</v>
      </c>
      <c r="M145" s="8">
        <v>1507.6</v>
      </c>
      <c r="N145" s="8">
        <f t="shared" si="2"/>
        <v>-21</v>
      </c>
      <c r="O145" s="8">
        <f t="shared" si="3"/>
        <v>-1.3738060970822976</v>
      </c>
      <c r="Q145" s="13">
        <v>44353</v>
      </c>
      <c r="R145" s="8">
        <v>15940.4</v>
      </c>
      <c r="S145" s="8">
        <f t="shared" si="16"/>
        <v>-161.89999999999964</v>
      </c>
      <c r="T145" s="8">
        <f t="shared" si="17"/>
        <v>-1.005446426907955</v>
      </c>
      <c r="V145" s="13">
        <v>44353</v>
      </c>
      <c r="W145" s="8">
        <v>946.4</v>
      </c>
      <c r="X145" s="8">
        <f t="shared" si="6"/>
        <v>12.049999999999955</v>
      </c>
      <c r="Y145" s="8">
        <f t="shared" si="7"/>
        <v>1.2896666131535244</v>
      </c>
      <c r="AA145" s="13">
        <v>44353</v>
      </c>
      <c r="AB145" s="8">
        <v>5255</v>
      </c>
      <c r="AC145" s="8">
        <f t="shared" si="8"/>
        <v>60.449999999999818</v>
      </c>
      <c r="AD145" s="8">
        <f t="shared" si="9"/>
        <v>1.1637196677286736</v>
      </c>
      <c r="AF145" s="13">
        <v>44353</v>
      </c>
      <c r="AG145" s="8">
        <v>2868.1</v>
      </c>
      <c r="AH145" s="8">
        <f t="shared" si="10"/>
        <v>62.299999999999727</v>
      </c>
      <c r="AI145" s="8">
        <f t="shared" si="11"/>
        <v>2.220400598759702</v>
      </c>
      <c r="AK145" s="13">
        <v>44353</v>
      </c>
      <c r="AL145" s="8">
        <v>384.9</v>
      </c>
      <c r="AM145" s="8">
        <f t="shared" si="12"/>
        <v>2.75</v>
      </c>
      <c r="AN145" s="8">
        <f t="shared" si="13"/>
        <v>0.71961271751929878</v>
      </c>
    </row>
    <row r="146" spans="2:40" x14ac:dyDescent="0.35">
      <c r="B146" s="13">
        <v>44346</v>
      </c>
      <c r="C146" s="8">
        <v>669.75</v>
      </c>
      <c r="D146" s="8">
        <f t="shared" si="0"/>
        <v>-20.649999999999977</v>
      </c>
      <c r="E146" s="8">
        <f t="shared" si="1"/>
        <v>-2.9910196987253732</v>
      </c>
      <c r="G146" s="16">
        <v>44346</v>
      </c>
      <c r="H146" s="14">
        <v>4120.25</v>
      </c>
      <c r="I146" s="8">
        <v>40.35</v>
      </c>
      <c r="J146" s="8">
        <v>0.98899482829999996</v>
      </c>
      <c r="L146" s="13">
        <v>44346</v>
      </c>
      <c r="M146" s="8">
        <v>1528.6</v>
      </c>
      <c r="N146" s="8">
        <f t="shared" si="2"/>
        <v>66.449999999999818</v>
      </c>
      <c r="O146" s="8">
        <f t="shared" si="3"/>
        <v>4.5446773586841172</v>
      </c>
      <c r="Q146" s="13">
        <v>44346</v>
      </c>
      <c r="R146" s="8">
        <v>16102.3</v>
      </c>
      <c r="S146" s="8">
        <f t="shared" si="16"/>
        <v>65.599999999998545</v>
      </c>
      <c r="T146" s="8">
        <f t="shared" si="17"/>
        <v>0.40906171469191632</v>
      </c>
      <c r="V146" s="13">
        <v>44346</v>
      </c>
      <c r="W146" s="8">
        <v>934.35</v>
      </c>
      <c r="X146" s="8">
        <f t="shared" si="6"/>
        <v>7.4500000000000455</v>
      </c>
      <c r="Y146" s="8">
        <f t="shared" si="7"/>
        <v>0.80375445031827009</v>
      </c>
      <c r="AA146" s="13">
        <v>44346</v>
      </c>
      <c r="AB146" s="8">
        <v>5194.55</v>
      </c>
      <c r="AC146" s="8">
        <f t="shared" si="8"/>
        <v>-21.899999999999636</v>
      </c>
      <c r="AD146" s="8">
        <f t="shared" si="9"/>
        <v>-0.4198257435612272</v>
      </c>
      <c r="AF146" s="13">
        <v>44346</v>
      </c>
      <c r="AG146" s="8">
        <v>2805.8</v>
      </c>
      <c r="AH146" s="8">
        <f t="shared" si="10"/>
        <v>-25.099999999999909</v>
      </c>
      <c r="AI146" s="8">
        <f t="shared" si="11"/>
        <v>-0.88664382351901894</v>
      </c>
      <c r="AK146" s="13">
        <v>44346</v>
      </c>
      <c r="AL146" s="8">
        <v>382.15</v>
      </c>
      <c r="AM146" s="8">
        <f t="shared" si="12"/>
        <v>-0.35000000000002274</v>
      </c>
      <c r="AN146" s="8">
        <f t="shared" si="13"/>
        <v>-9.1503267973862157E-2</v>
      </c>
    </row>
    <row r="147" spans="2:40" x14ac:dyDescent="0.35">
      <c r="B147" s="13">
        <v>44339</v>
      </c>
      <c r="C147" s="8">
        <v>690.4</v>
      </c>
      <c r="D147" s="8">
        <f t="shared" si="0"/>
        <v>-1.0500000000000682</v>
      </c>
      <c r="E147" s="8">
        <f t="shared" si="1"/>
        <v>-0.15185479788850503</v>
      </c>
      <c r="G147" s="16">
        <v>44339</v>
      </c>
      <c r="H147" s="14">
        <v>4079.9</v>
      </c>
      <c r="I147" s="8">
        <v>59.35</v>
      </c>
      <c r="J147" s="8">
        <v>1.4761661960000001</v>
      </c>
      <c r="L147" s="13">
        <v>44339</v>
      </c>
      <c r="M147" s="8">
        <v>1462.15</v>
      </c>
      <c r="N147" s="8">
        <f t="shared" si="2"/>
        <v>-41.949999999999818</v>
      </c>
      <c r="O147" s="8">
        <f t="shared" si="3"/>
        <v>-2.7890432816966837</v>
      </c>
      <c r="Q147" s="13">
        <v>44339</v>
      </c>
      <c r="R147" s="8">
        <v>16036.7</v>
      </c>
      <c r="S147" s="8">
        <f t="shared" si="16"/>
        <v>-73.299999999999272</v>
      </c>
      <c r="T147" s="8">
        <f t="shared" si="17"/>
        <v>-0.45499689633767393</v>
      </c>
      <c r="V147" s="13">
        <v>44339</v>
      </c>
      <c r="W147" s="8">
        <v>926.9</v>
      </c>
      <c r="X147" s="8">
        <f t="shared" si="6"/>
        <v>22.850000000000023</v>
      </c>
      <c r="Y147" s="8">
        <f t="shared" si="7"/>
        <v>2.5275150710690806</v>
      </c>
      <c r="AA147" s="13">
        <v>44339</v>
      </c>
      <c r="AB147" s="8">
        <v>5216.45</v>
      </c>
      <c r="AC147" s="8">
        <f t="shared" si="8"/>
        <v>19.599999999999454</v>
      </c>
      <c r="AD147" s="8">
        <f t="shared" si="9"/>
        <v>0.37715154372359128</v>
      </c>
      <c r="AF147" s="13">
        <v>44339</v>
      </c>
      <c r="AG147" s="8">
        <v>2830.9</v>
      </c>
      <c r="AH147" s="8">
        <f t="shared" si="10"/>
        <v>111.45000000000027</v>
      </c>
      <c r="AI147" s="8">
        <f t="shared" si="11"/>
        <v>4.0982551618893632</v>
      </c>
      <c r="AK147" s="13">
        <v>44339</v>
      </c>
      <c r="AL147" s="8">
        <v>382.5</v>
      </c>
      <c r="AM147" s="8">
        <f t="shared" si="12"/>
        <v>-6.3000000000000114</v>
      </c>
      <c r="AN147" s="8">
        <f t="shared" si="13"/>
        <v>-1.6203703703703733</v>
      </c>
    </row>
    <row r="148" spans="2:40" x14ac:dyDescent="0.35">
      <c r="B148" s="13">
        <v>44332</v>
      </c>
      <c r="C148" s="8">
        <v>691.45</v>
      </c>
      <c r="D148" s="8">
        <f t="shared" si="0"/>
        <v>12</v>
      </c>
      <c r="E148" s="8">
        <f t="shared" si="1"/>
        <v>1.7661343733902419</v>
      </c>
      <c r="G148" s="16">
        <v>44332</v>
      </c>
      <c r="H148" s="14">
        <v>4020.55</v>
      </c>
      <c r="I148" s="8">
        <v>-8.5500000000000007</v>
      </c>
      <c r="J148" s="8">
        <v>-0.2122061999</v>
      </c>
      <c r="L148" s="13">
        <v>44332</v>
      </c>
      <c r="M148" s="8">
        <v>1504.1</v>
      </c>
      <c r="N148" s="8">
        <f t="shared" si="2"/>
        <v>38.449999999999818</v>
      </c>
      <c r="O148" s="8">
        <f t="shared" si="3"/>
        <v>2.62340940879472</v>
      </c>
      <c r="Q148" s="13">
        <v>44332</v>
      </c>
      <c r="R148" s="8">
        <v>16110</v>
      </c>
      <c r="S148" s="8">
        <f t="shared" si="16"/>
        <v>259.60000000000036</v>
      </c>
      <c r="T148" s="8">
        <f t="shared" si="17"/>
        <v>1.6378135567556678</v>
      </c>
      <c r="V148" s="13">
        <v>44332</v>
      </c>
      <c r="W148" s="8">
        <v>904.05</v>
      </c>
      <c r="X148" s="8">
        <f t="shared" si="6"/>
        <v>21.149999999999977</v>
      </c>
      <c r="Y148" s="8">
        <f t="shared" si="7"/>
        <v>2.3955147808358794</v>
      </c>
      <c r="AA148" s="13">
        <v>44332</v>
      </c>
      <c r="AB148" s="8">
        <v>5196.8500000000004</v>
      </c>
      <c r="AC148" s="8">
        <f t="shared" si="8"/>
        <v>22.150000000000546</v>
      </c>
      <c r="AD148" s="8">
        <f t="shared" si="9"/>
        <v>0.42804413782442552</v>
      </c>
      <c r="AF148" s="13">
        <v>44332</v>
      </c>
      <c r="AG148" s="8">
        <v>2719.45</v>
      </c>
      <c r="AH148" s="8">
        <f t="shared" si="10"/>
        <v>-140.55000000000018</v>
      </c>
      <c r="AI148" s="8">
        <f t="shared" si="11"/>
        <v>-4.9143356643356704</v>
      </c>
      <c r="AK148" s="13">
        <v>44332</v>
      </c>
      <c r="AL148" s="8">
        <v>388.8</v>
      </c>
      <c r="AM148" s="8">
        <f t="shared" si="12"/>
        <v>7.6500000000000341</v>
      </c>
      <c r="AN148" s="8">
        <f t="shared" si="13"/>
        <v>2.0070838252656524</v>
      </c>
    </row>
    <row r="149" spans="2:40" x14ac:dyDescent="0.35">
      <c r="B149" s="13">
        <v>44325</v>
      </c>
      <c r="C149" s="8">
        <v>679.45</v>
      </c>
      <c r="D149" s="8">
        <f t="shared" si="0"/>
        <v>25</v>
      </c>
      <c r="E149" s="8">
        <f t="shared" si="1"/>
        <v>3.8200015280006108</v>
      </c>
      <c r="G149" s="16">
        <v>44325</v>
      </c>
      <c r="H149" s="14">
        <v>4029.1</v>
      </c>
      <c r="I149" s="8">
        <v>-33.25</v>
      </c>
      <c r="J149" s="8">
        <v>-0.81849175969999999</v>
      </c>
      <c r="L149" s="13">
        <v>44325</v>
      </c>
      <c r="M149" s="8">
        <v>1465.65</v>
      </c>
      <c r="N149" s="8">
        <f t="shared" si="2"/>
        <v>6.75</v>
      </c>
      <c r="O149" s="8">
        <f t="shared" si="3"/>
        <v>0.46267735965453421</v>
      </c>
      <c r="Q149" s="13">
        <v>44325</v>
      </c>
      <c r="R149" s="8">
        <v>15850.4</v>
      </c>
      <c r="S149" s="8">
        <f t="shared" si="16"/>
        <v>698.64999999999964</v>
      </c>
      <c r="T149" s="8">
        <f t="shared" si="17"/>
        <v>4.611018529212795</v>
      </c>
      <c r="V149" s="13">
        <v>44325</v>
      </c>
      <c r="W149" s="8">
        <v>882.9</v>
      </c>
      <c r="X149" s="8">
        <f t="shared" si="6"/>
        <v>-27.450000000000045</v>
      </c>
      <c r="Y149" s="8">
        <f t="shared" si="7"/>
        <v>-3.0153237765694563</v>
      </c>
      <c r="AA149" s="13">
        <v>44325</v>
      </c>
      <c r="AB149" s="8">
        <v>5174.7</v>
      </c>
      <c r="AC149" s="8">
        <f t="shared" si="8"/>
        <v>11.599999999999454</v>
      </c>
      <c r="AD149" s="8">
        <f t="shared" si="9"/>
        <v>0.22467122465184586</v>
      </c>
      <c r="AF149" s="13">
        <v>44325</v>
      </c>
      <c r="AG149" s="8">
        <v>2860</v>
      </c>
      <c r="AH149" s="8">
        <f t="shared" si="10"/>
        <v>-72.699999999999818</v>
      </c>
      <c r="AI149" s="8">
        <f t="shared" si="11"/>
        <v>-2.4789443175230956</v>
      </c>
      <c r="AK149" s="13">
        <v>44325</v>
      </c>
      <c r="AL149" s="8">
        <v>381.15</v>
      </c>
      <c r="AM149" s="8">
        <f t="shared" si="12"/>
        <v>1.5</v>
      </c>
      <c r="AN149" s="8">
        <f t="shared" si="13"/>
        <v>0.39510075069142636</v>
      </c>
    </row>
    <row r="150" spans="2:40" x14ac:dyDescent="0.35">
      <c r="B150" s="13">
        <v>44318</v>
      </c>
      <c r="C150" s="8">
        <v>654.45000000000005</v>
      </c>
      <c r="D150" s="8">
        <f t="shared" si="0"/>
        <v>16.5</v>
      </c>
      <c r="E150" s="8">
        <f t="shared" si="1"/>
        <v>2.5864095932283093</v>
      </c>
      <c r="G150" s="16">
        <v>44318</v>
      </c>
      <c r="H150" s="14">
        <v>4062.35</v>
      </c>
      <c r="I150" s="8">
        <v>282.60000000000002</v>
      </c>
      <c r="J150" s="8">
        <v>7.4766849659999997</v>
      </c>
      <c r="L150" s="13">
        <v>44318</v>
      </c>
      <c r="M150" s="8">
        <v>1458.9</v>
      </c>
      <c r="N150" s="8">
        <f t="shared" si="2"/>
        <v>6.9500000000000455</v>
      </c>
      <c r="O150" s="8">
        <f t="shared" si="3"/>
        <v>0.47866662075140642</v>
      </c>
      <c r="Q150" s="13">
        <v>44318</v>
      </c>
      <c r="R150" s="8">
        <v>15151.75</v>
      </c>
      <c r="S150" s="8">
        <f t="shared" si="16"/>
        <v>75.399999999999636</v>
      </c>
      <c r="T150" s="8">
        <f t="shared" si="17"/>
        <v>0.50012105051951983</v>
      </c>
      <c r="V150" s="13">
        <v>44318</v>
      </c>
      <c r="W150" s="8">
        <v>910.35</v>
      </c>
      <c r="X150" s="8">
        <f t="shared" si="6"/>
        <v>-25.25</v>
      </c>
      <c r="Y150" s="8">
        <f t="shared" si="7"/>
        <v>-2.6988029072253097</v>
      </c>
      <c r="AA150" s="13">
        <v>44318</v>
      </c>
      <c r="AB150" s="8">
        <v>5163.1000000000004</v>
      </c>
      <c r="AC150" s="8">
        <f t="shared" si="8"/>
        <v>96.400000000000546</v>
      </c>
      <c r="AD150" s="8">
        <f t="shared" si="9"/>
        <v>1.90261906171671</v>
      </c>
      <c r="AF150" s="13">
        <v>44318</v>
      </c>
      <c r="AG150" s="8">
        <v>2932.7</v>
      </c>
      <c r="AH150" s="8">
        <f t="shared" si="10"/>
        <v>47.949999999999818</v>
      </c>
      <c r="AI150" s="8">
        <f t="shared" si="11"/>
        <v>1.6621890978420943</v>
      </c>
      <c r="AK150" s="13">
        <v>44318</v>
      </c>
      <c r="AL150" s="8">
        <v>379.65</v>
      </c>
      <c r="AM150" s="8">
        <f t="shared" si="12"/>
        <v>-17.950000000000045</v>
      </c>
      <c r="AN150" s="8">
        <f t="shared" si="13"/>
        <v>-4.5145875251509162</v>
      </c>
    </row>
    <row r="151" spans="2:40" x14ac:dyDescent="0.35">
      <c r="B151" s="13">
        <v>44311</v>
      </c>
      <c r="C151" s="8">
        <v>637.95000000000005</v>
      </c>
      <c r="D151" s="8">
        <f t="shared" si="0"/>
        <v>-8.0999999999999091</v>
      </c>
      <c r="E151" s="8">
        <f t="shared" si="1"/>
        <v>-1.2537729277919525</v>
      </c>
      <c r="G151" s="16">
        <v>44311</v>
      </c>
      <c r="H151" s="14">
        <v>3779.75</v>
      </c>
      <c r="I151" s="8">
        <v>-42.1</v>
      </c>
      <c r="J151" s="8">
        <v>-1.1015607620000001</v>
      </c>
      <c r="L151" s="13">
        <v>44311</v>
      </c>
      <c r="M151" s="8">
        <v>1451.95</v>
      </c>
      <c r="N151" s="8">
        <f t="shared" si="2"/>
        <v>-18.25</v>
      </c>
      <c r="O151" s="8">
        <f t="shared" si="3"/>
        <v>-1.241327710515576</v>
      </c>
      <c r="Q151" s="13">
        <v>44311</v>
      </c>
      <c r="R151" s="8">
        <v>15076.35</v>
      </c>
      <c r="S151" s="8">
        <f t="shared" si="16"/>
        <v>111.5</v>
      </c>
      <c r="T151" s="8">
        <f t="shared" si="17"/>
        <v>0.74507930249885568</v>
      </c>
      <c r="V151" s="13">
        <v>44311</v>
      </c>
      <c r="W151" s="8">
        <v>935.6</v>
      </c>
      <c r="X151" s="8">
        <f t="shared" si="6"/>
        <v>-2.4499999999999318</v>
      </c>
      <c r="Y151" s="8">
        <f t="shared" si="7"/>
        <v>-0.26118010767015959</v>
      </c>
      <c r="AA151" s="13">
        <v>44311</v>
      </c>
      <c r="AB151" s="8">
        <v>5066.7</v>
      </c>
      <c r="AC151" s="8">
        <f t="shared" si="8"/>
        <v>173.44999999999982</v>
      </c>
      <c r="AD151" s="8">
        <f t="shared" si="9"/>
        <v>3.5446788943953367</v>
      </c>
      <c r="AF151" s="13">
        <v>44311</v>
      </c>
      <c r="AG151" s="8">
        <v>2884.75</v>
      </c>
      <c r="AH151" s="8">
        <f t="shared" si="10"/>
        <v>-35.449999999999818</v>
      </c>
      <c r="AI151" s="8">
        <f t="shared" si="11"/>
        <v>-1.2139579480857414</v>
      </c>
      <c r="AK151" s="13">
        <v>44311</v>
      </c>
      <c r="AL151" s="8">
        <v>397.6</v>
      </c>
      <c r="AM151" s="8">
        <f t="shared" si="12"/>
        <v>-15.25</v>
      </c>
      <c r="AN151" s="8">
        <f t="shared" si="13"/>
        <v>-3.6938355334867383</v>
      </c>
    </row>
    <row r="152" spans="2:40" x14ac:dyDescent="0.35">
      <c r="B152" s="13">
        <v>44304</v>
      </c>
      <c r="C152" s="8">
        <v>646.04999999999995</v>
      </c>
      <c r="D152" s="8">
        <f t="shared" si="0"/>
        <v>9.2999999999999545</v>
      </c>
      <c r="E152" s="8">
        <f t="shared" si="1"/>
        <v>1.4605418138986972</v>
      </c>
      <c r="G152" s="16">
        <v>44304</v>
      </c>
      <c r="H152" s="14">
        <v>3821.85</v>
      </c>
      <c r="I152" s="8">
        <v>69.5</v>
      </c>
      <c r="J152" s="8">
        <v>1.8521726380000001</v>
      </c>
      <c r="L152" s="13">
        <v>44304</v>
      </c>
      <c r="M152" s="8">
        <v>1470.2</v>
      </c>
      <c r="N152" s="8">
        <f t="shared" si="2"/>
        <v>24.150000000000091</v>
      </c>
      <c r="O152" s="8">
        <f t="shared" si="3"/>
        <v>1.6700667335154449</v>
      </c>
      <c r="Q152" s="13">
        <v>44304</v>
      </c>
      <c r="R152" s="8">
        <v>14964.85</v>
      </c>
      <c r="S152" s="8">
        <f t="shared" si="16"/>
        <v>-268.69999999999891</v>
      </c>
      <c r="T152" s="8">
        <f t="shared" si="17"/>
        <v>-1.7638698793124317</v>
      </c>
      <c r="V152" s="13">
        <v>44304</v>
      </c>
      <c r="W152" s="8">
        <v>938.05</v>
      </c>
      <c r="X152" s="8">
        <f t="shared" si="6"/>
        <v>55</v>
      </c>
      <c r="Y152" s="8">
        <f t="shared" si="7"/>
        <v>6.2284128871524835</v>
      </c>
      <c r="AA152" s="13">
        <v>44304</v>
      </c>
      <c r="AB152" s="8">
        <v>4893.25</v>
      </c>
      <c r="AC152" s="8">
        <f t="shared" si="8"/>
        <v>132.94999999999982</v>
      </c>
      <c r="AD152" s="8">
        <f t="shared" si="9"/>
        <v>2.7928912043358571</v>
      </c>
      <c r="AF152" s="13">
        <v>44304</v>
      </c>
      <c r="AG152" s="8">
        <v>2920.2</v>
      </c>
      <c r="AH152" s="8">
        <f t="shared" si="10"/>
        <v>-216.80000000000018</v>
      </c>
      <c r="AI152" s="8">
        <f t="shared" si="11"/>
        <v>-6.9110615237488107</v>
      </c>
      <c r="AK152" s="13">
        <v>44304</v>
      </c>
      <c r="AL152" s="8">
        <v>412.85</v>
      </c>
      <c r="AM152" s="8">
        <f t="shared" si="12"/>
        <v>-7.4499999999999886</v>
      </c>
      <c r="AN152" s="8">
        <f t="shared" si="13"/>
        <v>-1.7725434213656883</v>
      </c>
    </row>
    <row r="153" spans="2:40" x14ac:dyDescent="0.35">
      <c r="B153" s="13">
        <v>44297</v>
      </c>
      <c r="C153" s="8">
        <v>636.75</v>
      </c>
      <c r="D153" s="8">
        <f t="shared" si="0"/>
        <v>26</v>
      </c>
      <c r="E153" s="8">
        <f t="shared" si="1"/>
        <v>4.2570609905853463</v>
      </c>
      <c r="G153" s="16">
        <v>44297</v>
      </c>
      <c r="H153" s="14">
        <v>3752.35</v>
      </c>
      <c r="I153" s="8">
        <v>136.25</v>
      </c>
      <c r="J153" s="8">
        <v>3.7678714640000002</v>
      </c>
      <c r="L153" s="13">
        <v>44297</v>
      </c>
      <c r="M153" s="8">
        <v>1446.05</v>
      </c>
      <c r="N153" s="8">
        <f t="shared" si="2"/>
        <v>13.899999999999864</v>
      </c>
      <c r="O153" s="8">
        <f t="shared" si="3"/>
        <v>0.9705687253430062</v>
      </c>
      <c r="Q153" s="13">
        <v>44297</v>
      </c>
      <c r="R153" s="8">
        <v>15233.55</v>
      </c>
      <c r="S153" s="8">
        <f t="shared" si="16"/>
        <v>253.5</v>
      </c>
      <c r="T153" s="8">
        <f t="shared" si="17"/>
        <v>1.6922506934222517</v>
      </c>
      <c r="V153" s="13">
        <v>44297</v>
      </c>
      <c r="W153" s="8">
        <v>883.05</v>
      </c>
      <c r="X153" s="8">
        <f t="shared" si="6"/>
        <v>64.75</v>
      </c>
      <c r="Y153" s="8">
        <f t="shared" si="7"/>
        <v>7.9127459366980331</v>
      </c>
      <c r="AA153" s="13">
        <v>44297</v>
      </c>
      <c r="AB153" s="8">
        <v>4760.3</v>
      </c>
      <c r="AC153" s="8">
        <f t="shared" si="8"/>
        <v>172.65000000000055</v>
      </c>
      <c r="AD153" s="8">
        <f t="shared" si="9"/>
        <v>3.7633646856233707</v>
      </c>
      <c r="AF153" s="13">
        <v>44297</v>
      </c>
      <c r="AG153" s="8">
        <v>3137</v>
      </c>
      <c r="AH153" s="8">
        <f t="shared" si="10"/>
        <v>406.40000000000009</v>
      </c>
      <c r="AI153" s="8">
        <f t="shared" si="11"/>
        <v>14.883175858785618</v>
      </c>
      <c r="AK153" s="13">
        <v>44297</v>
      </c>
      <c r="AL153" s="8">
        <v>420.3</v>
      </c>
      <c r="AM153" s="8">
        <f t="shared" si="12"/>
        <v>9.75</v>
      </c>
      <c r="AN153" s="8">
        <f t="shared" si="13"/>
        <v>2.3748629886737302</v>
      </c>
    </row>
    <row r="154" spans="2:40" x14ac:dyDescent="0.35">
      <c r="B154" s="13">
        <v>44290</v>
      </c>
      <c r="C154" s="8">
        <v>610.75</v>
      </c>
      <c r="D154" s="8">
        <f t="shared" si="0"/>
        <v>23.549999999999955</v>
      </c>
      <c r="E154" s="8">
        <f t="shared" si="1"/>
        <v>4.0105585831062589</v>
      </c>
      <c r="G154" s="16">
        <v>44290</v>
      </c>
      <c r="H154" s="14">
        <v>3616.1</v>
      </c>
      <c r="I154" s="8">
        <v>151.15</v>
      </c>
      <c r="J154" s="8">
        <v>4.3622563100000002</v>
      </c>
      <c r="L154" s="13">
        <v>44290</v>
      </c>
      <c r="M154" s="8">
        <v>1432.15</v>
      </c>
      <c r="N154" s="8">
        <f t="shared" si="2"/>
        <v>26.600000000000136</v>
      </c>
      <c r="O154" s="8">
        <f t="shared" si="3"/>
        <v>1.8924975988047481</v>
      </c>
      <c r="Q154" s="13">
        <v>44290</v>
      </c>
      <c r="R154" s="8">
        <v>14980.05</v>
      </c>
      <c r="S154" s="8">
        <f t="shared" si="16"/>
        <v>-49.450000000000728</v>
      </c>
      <c r="T154" s="8">
        <f t="shared" si="17"/>
        <v>-0.32901959479690429</v>
      </c>
      <c r="V154" s="13">
        <v>44290</v>
      </c>
      <c r="W154" s="8">
        <v>818.3</v>
      </c>
      <c r="X154" s="8">
        <f t="shared" si="6"/>
        <v>30.849999999999909</v>
      </c>
      <c r="Y154" s="8">
        <f t="shared" si="7"/>
        <v>3.9177090608927432</v>
      </c>
      <c r="AA154" s="13">
        <v>44290</v>
      </c>
      <c r="AB154" s="8">
        <v>4587.6499999999996</v>
      </c>
      <c r="AC154" s="8">
        <f t="shared" si="8"/>
        <v>181.64999999999964</v>
      </c>
      <c r="AD154" s="8">
        <f t="shared" si="9"/>
        <v>4.1227871084884162</v>
      </c>
      <c r="AF154" s="13">
        <v>44290</v>
      </c>
      <c r="AG154" s="8">
        <v>2730.6</v>
      </c>
      <c r="AH154" s="8">
        <f t="shared" si="10"/>
        <v>159.19999999999982</v>
      </c>
      <c r="AI154" s="8">
        <f t="shared" si="11"/>
        <v>6.191179901998904</v>
      </c>
      <c r="AK154" s="13">
        <v>44290</v>
      </c>
      <c r="AL154" s="8">
        <v>410.55</v>
      </c>
      <c r="AM154" s="8">
        <f t="shared" si="12"/>
        <v>15.300000000000011</v>
      </c>
      <c r="AN154" s="8">
        <f t="shared" si="13"/>
        <v>3.8709677419354867</v>
      </c>
    </row>
    <row r="155" spans="2:40" x14ac:dyDescent="0.35">
      <c r="B155" s="13">
        <v>44283</v>
      </c>
      <c r="C155" s="8">
        <v>587.20000000000005</v>
      </c>
      <c r="D155" s="8">
        <f t="shared" si="0"/>
        <v>8.9000000000000909</v>
      </c>
      <c r="E155" s="8">
        <f t="shared" si="1"/>
        <v>1.538993601936727</v>
      </c>
      <c r="G155" s="16">
        <v>44283</v>
      </c>
      <c r="H155" s="14">
        <v>3464.95</v>
      </c>
      <c r="I155" s="8">
        <v>94.65</v>
      </c>
      <c r="J155" s="8">
        <v>2.8083553389999998</v>
      </c>
      <c r="L155" s="13">
        <v>44283</v>
      </c>
      <c r="M155" s="8">
        <v>1405.55</v>
      </c>
      <c r="N155" s="8">
        <f t="shared" si="2"/>
        <v>-26.350000000000136</v>
      </c>
      <c r="O155" s="8">
        <f t="shared" si="3"/>
        <v>-1.8402123053285937</v>
      </c>
      <c r="Q155" s="13">
        <v>44283</v>
      </c>
      <c r="R155" s="8">
        <v>15029.5</v>
      </c>
      <c r="S155" s="8">
        <f t="shared" si="16"/>
        <v>234.54999999999927</v>
      </c>
      <c r="T155" s="8">
        <f t="shared" si="17"/>
        <v>1.5853382404131089</v>
      </c>
      <c r="V155" s="13">
        <v>44283</v>
      </c>
      <c r="W155" s="8">
        <v>787.45</v>
      </c>
      <c r="X155" s="8">
        <f t="shared" si="6"/>
        <v>26.800000000000068</v>
      </c>
      <c r="Y155" s="8">
        <f t="shared" si="7"/>
        <v>3.5233024387037495</v>
      </c>
      <c r="AA155" s="13">
        <v>44283</v>
      </c>
      <c r="AB155" s="8">
        <v>4406</v>
      </c>
      <c r="AC155" s="8">
        <f t="shared" si="8"/>
        <v>131.55000000000018</v>
      </c>
      <c r="AD155" s="8">
        <f t="shared" si="9"/>
        <v>3.0775889295698904</v>
      </c>
      <c r="AF155" s="13">
        <v>44283</v>
      </c>
      <c r="AG155" s="8">
        <v>2571.4</v>
      </c>
      <c r="AH155" s="8">
        <f t="shared" si="10"/>
        <v>54.150000000000091</v>
      </c>
      <c r="AI155" s="8">
        <f t="shared" si="11"/>
        <v>2.1511570165855631</v>
      </c>
      <c r="AK155" s="13">
        <v>44283</v>
      </c>
      <c r="AL155" s="8">
        <v>395.25</v>
      </c>
      <c r="AM155" s="8">
        <f t="shared" si="12"/>
        <v>-0.44999999999998863</v>
      </c>
      <c r="AN155" s="8">
        <f t="shared" si="13"/>
        <v>-0.11372251705837469</v>
      </c>
    </row>
    <row r="156" spans="2:40" x14ac:dyDescent="0.35">
      <c r="B156" s="13">
        <v>44276</v>
      </c>
      <c r="C156" s="8">
        <v>578.29999999999995</v>
      </c>
      <c r="D156" s="8">
        <f t="shared" si="0"/>
        <v>-35.300000000000068</v>
      </c>
      <c r="E156" s="8">
        <f t="shared" si="1"/>
        <v>-5.7529335071708063</v>
      </c>
      <c r="G156" s="16">
        <v>44276</v>
      </c>
      <c r="H156" s="14">
        <v>3370.3</v>
      </c>
      <c r="I156" s="8">
        <v>-141.75</v>
      </c>
      <c r="J156" s="8">
        <v>-4.03610427</v>
      </c>
      <c r="L156" s="13">
        <v>44276</v>
      </c>
      <c r="M156" s="8">
        <v>1431.9</v>
      </c>
      <c r="N156" s="8">
        <f t="shared" si="2"/>
        <v>-18.799999999999955</v>
      </c>
      <c r="O156" s="8">
        <f t="shared" si="3"/>
        <v>-1.2959261046391366</v>
      </c>
      <c r="Q156" s="13">
        <v>44276</v>
      </c>
      <c r="R156" s="8">
        <v>14794.95</v>
      </c>
      <c r="S156" s="8">
        <f t="shared" si="16"/>
        <v>178.70000000000073</v>
      </c>
      <c r="T156" s="8">
        <f t="shared" si="17"/>
        <v>1.2226118190370356</v>
      </c>
      <c r="V156" s="13">
        <v>44276</v>
      </c>
      <c r="W156" s="8">
        <v>760.65</v>
      </c>
      <c r="X156" s="8">
        <f t="shared" si="6"/>
        <v>-45.300000000000068</v>
      </c>
      <c r="Y156" s="8">
        <f t="shared" si="7"/>
        <v>-5.6206960729573883</v>
      </c>
      <c r="AA156" s="13">
        <v>44276</v>
      </c>
      <c r="AB156" s="8">
        <v>4274.45</v>
      </c>
      <c r="AC156" s="8">
        <f t="shared" si="8"/>
        <v>-152.05000000000018</v>
      </c>
      <c r="AD156" s="8">
        <f t="shared" si="9"/>
        <v>-3.4349937874166989</v>
      </c>
      <c r="AF156" s="13">
        <v>44276</v>
      </c>
      <c r="AG156" s="8">
        <v>2517.25</v>
      </c>
      <c r="AH156" s="8">
        <f t="shared" si="10"/>
        <v>177.05000000000018</v>
      </c>
      <c r="AI156" s="8">
        <f t="shared" si="11"/>
        <v>7.5655926843859582</v>
      </c>
      <c r="AK156" s="13">
        <v>44276</v>
      </c>
      <c r="AL156" s="8">
        <v>395.7</v>
      </c>
      <c r="AM156" s="8">
        <f t="shared" si="12"/>
        <v>-4.5</v>
      </c>
      <c r="AN156" s="8">
        <f t="shared" si="13"/>
        <v>-1.1244377811094453</v>
      </c>
    </row>
    <row r="157" spans="2:40" x14ac:dyDescent="0.35">
      <c r="B157" s="13">
        <v>44269</v>
      </c>
      <c r="C157" s="8">
        <v>613.6</v>
      </c>
      <c r="D157" s="8">
        <f t="shared" si="0"/>
        <v>2.3999999999999773</v>
      </c>
      <c r="E157" s="8">
        <f t="shared" si="1"/>
        <v>0.39267015706805908</v>
      </c>
      <c r="G157" s="16">
        <v>44269</v>
      </c>
      <c r="H157" s="14">
        <v>3512.05</v>
      </c>
      <c r="I157" s="8">
        <v>15.15</v>
      </c>
      <c r="J157" s="8">
        <v>0.43324087049999999</v>
      </c>
      <c r="L157" s="13">
        <v>44269</v>
      </c>
      <c r="M157" s="8">
        <v>1450.7</v>
      </c>
      <c r="N157" s="8">
        <f t="shared" si="2"/>
        <v>-93.5</v>
      </c>
      <c r="O157" s="8">
        <f t="shared" si="3"/>
        <v>-6.0549151664292191</v>
      </c>
      <c r="Q157" s="13">
        <v>44269</v>
      </c>
      <c r="R157" s="8">
        <v>14616.25</v>
      </c>
      <c r="S157" s="8">
        <f t="shared" si="16"/>
        <v>-138.54999999999927</v>
      </c>
      <c r="T157" s="8">
        <f t="shared" si="17"/>
        <v>-0.93901645566188141</v>
      </c>
      <c r="V157" s="13">
        <v>44269</v>
      </c>
      <c r="W157" s="8">
        <v>805.95</v>
      </c>
      <c r="X157" s="8">
        <f t="shared" si="6"/>
        <v>0.80000000000006821</v>
      </c>
      <c r="Y157" s="8">
        <f t="shared" si="7"/>
        <v>9.9360367633368724E-2</v>
      </c>
      <c r="AA157" s="13">
        <v>44269</v>
      </c>
      <c r="AB157" s="8">
        <v>4426.5</v>
      </c>
      <c r="AC157" s="8">
        <f t="shared" si="8"/>
        <v>-66</v>
      </c>
      <c r="AD157" s="8">
        <f t="shared" si="9"/>
        <v>-1.4691151919866443</v>
      </c>
      <c r="AF157" s="13">
        <v>44269</v>
      </c>
      <c r="AG157" s="8">
        <v>2340.1999999999998</v>
      </c>
      <c r="AH157" s="8">
        <f t="shared" si="10"/>
        <v>36.299999999999727</v>
      </c>
      <c r="AI157" s="8">
        <f t="shared" si="11"/>
        <v>1.5755892182820317</v>
      </c>
      <c r="AK157" s="13">
        <v>44269</v>
      </c>
      <c r="AL157" s="8">
        <v>400.2</v>
      </c>
      <c r="AM157" s="8">
        <f t="shared" si="12"/>
        <v>5.5999999999999659</v>
      </c>
      <c r="AN157" s="8">
        <f t="shared" si="13"/>
        <v>1.4191586416624342</v>
      </c>
    </row>
    <row r="158" spans="2:40" x14ac:dyDescent="0.35">
      <c r="B158" s="13">
        <v>44262</v>
      </c>
      <c r="C158" s="8">
        <v>611.20000000000005</v>
      </c>
      <c r="D158" s="8">
        <f t="shared" si="0"/>
        <v>16.600000000000023</v>
      </c>
      <c r="E158" s="8">
        <f t="shared" si="1"/>
        <v>2.7917928018836231</v>
      </c>
      <c r="G158" s="16">
        <v>44262</v>
      </c>
      <c r="H158" s="14">
        <v>3496.9</v>
      </c>
      <c r="I158" s="8">
        <v>133.80000000000001</v>
      </c>
      <c r="J158" s="8">
        <v>3.9784722430000001</v>
      </c>
      <c r="L158" s="13">
        <v>44262</v>
      </c>
      <c r="M158" s="8">
        <v>1544.2</v>
      </c>
      <c r="N158" s="8">
        <f t="shared" si="2"/>
        <v>83.650000000000091</v>
      </c>
      <c r="O158" s="8">
        <f t="shared" si="3"/>
        <v>5.7272945123412473</v>
      </c>
      <c r="Q158" s="13">
        <v>44262</v>
      </c>
      <c r="R158" s="8">
        <v>14754.8</v>
      </c>
      <c r="S158" s="8">
        <f t="shared" si="16"/>
        <v>365.34999999999854</v>
      </c>
      <c r="T158" s="8">
        <f t="shared" si="17"/>
        <v>2.5390129574097586</v>
      </c>
      <c r="V158" s="13">
        <v>44262</v>
      </c>
      <c r="W158" s="8">
        <v>805.15</v>
      </c>
      <c r="X158" s="8">
        <f t="shared" si="6"/>
        <v>18.100000000000023</v>
      </c>
      <c r="Y158" s="8">
        <f t="shared" si="7"/>
        <v>2.2997268280287178</v>
      </c>
      <c r="AA158" s="13">
        <v>44262</v>
      </c>
      <c r="AB158" s="8">
        <v>4492.5</v>
      </c>
      <c r="AC158" s="8">
        <f t="shared" si="8"/>
        <v>65.949999999999818</v>
      </c>
      <c r="AD158" s="8">
        <f t="shared" si="9"/>
        <v>1.4898736035964761</v>
      </c>
      <c r="AF158" s="13">
        <v>44262</v>
      </c>
      <c r="AG158" s="8">
        <v>2303.9</v>
      </c>
      <c r="AH158" s="8">
        <f t="shared" si="10"/>
        <v>3.2000000000002728</v>
      </c>
      <c r="AI158" s="8">
        <f t="shared" si="11"/>
        <v>0.13908810362064908</v>
      </c>
      <c r="AK158" s="13">
        <v>44262</v>
      </c>
      <c r="AL158" s="8">
        <v>394.6</v>
      </c>
      <c r="AM158" s="8">
        <f t="shared" si="12"/>
        <v>4.4000000000000341</v>
      </c>
      <c r="AN158" s="8">
        <f t="shared" si="13"/>
        <v>1.1276268580215363</v>
      </c>
    </row>
    <row r="159" spans="2:40" x14ac:dyDescent="0.35">
      <c r="B159" s="13">
        <v>44255</v>
      </c>
      <c r="C159" s="8">
        <v>594.6</v>
      </c>
      <c r="D159" s="8">
        <f t="shared" si="0"/>
        <v>-12.699999999999932</v>
      </c>
      <c r="E159" s="8">
        <f t="shared" si="1"/>
        <v>-2.0912234480487291</v>
      </c>
      <c r="G159" s="16">
        <v>44255</v>
      </c>
      <c r="H159" s="14">
        <v>3363.1</v>
      </c>
      <c r="I159" s="8">
        <v>-160.1</v>
      </c>
      <c r="J159" s="8">
        <v>-4.5441643960000002</v>
      </c>
      <c r="L159" s="13">
        <v>44255</v>
      </c>
      <c r="M159" s="8">
        <v>1460.55</v>
      </c>
      <c r="N159" s="8">
        <f t="shared" si="2"/>
        <v>9.8499999999999091</v>
      </c>
      <c r="O159" s="8">
        <f t="shared" si="3"/>
        <v>0.67898256014337277</v>
      </c>
      <c r="Q159" s="13">
        <v>44255</v>
      </c>
      <c r="R159" s="8">
        <v>14389.45</v>
      </c>
      <c r="S159" s="8">
        <f t="shared" si="16"/>
        <v>-326.84999999999854</v>
      </c>
      <c r="T159" s="8">
        <f t="shared" si="17"/>
        <v>-2.2210066388969958</v>
      </c>
      <c r="V159" s="13">
        <v>44255</v>
      </c>
      <c r="W159" s="8">
        <v>787.05</v>
      </c>
      <c r="X159" s="8">
        <f t="shared" si="6"/>
        <v>-20.300000000000068</v>
      </c>
      <c r="Y159" s="8">
        <f t="shared" si="7"/>
        <v>-2.5143989595590597</v>
      </c>
      <c r="AA159" s="13">
        <v>44255</v>
      </c>
      <c r="AB159" s="8">
        <v>4426.55</v>
      </c>
      <c r="AC159" s="8">
        <f t="shared" si="8"/>
        <v>-254.89999999999964</v>
      </c>
      <c r="AD159" s="8">
        <f t="shared" si="9"/>
        <v>-5.4448942101271962</v>
      </c>
      <c r="AF159" s="13">
        <v>44255</v>
      </c>
      <c r="AG159" s="8">
        <v>2300.6999999999998</v>
      </c>
      <c r="AH159" s="8">
        <f t="shared" si="10"/>
        <v>-128.20000000000027</v>
      </c>
      <c r="AI159" s="8">
        <f t="shared" si="11"/>
        <v>-5.2781094322532942</v>
      </c>
      <c r="AK159" s="13">
        <v>44255</v>
      </c>
      <c r="AL159" s="8">
        <v>390.2</v>
      </c>
      <c r="AM159" s="8">
        <f t="shared" si="12"/>
        <v>-13.800000000000011</v>
      </c>
      <c r="AN159" s="8">
        <f t="shared" si="13"/>
        <v>-3.4158415841584189</v>
      </c>
    </row>
    <row r="160" spans="2:40" x14ac:dyDescent="0.35">
      <c r="B160" s="13">
        <v>44248</v>
      </c>
      <c r="C160" s="8">
        <v>607.29999999999995</v>
      </c>
      <c r="D160" s="8">
        <f t="shared" si="0"/>
        <v>-19.850000000000023</v>
      </c>
      <c r="E160" s="8">
        <f t="shared" si="1"/>
        <v>-3.1651120146695404</v>
      </c>
      <c r="G160" s="16">
        <v>44248</v>
      </c>
      <c r="H160" s="14">
        <v>3523.2</v>
      </c>
      <c r="I160" s="8">
        <v>-196.2</v>
      </c>
      <c r="J160" s="8">
        <v>-5.275044362</v>
      </c>
      <c r="L160" s="13">
        <v>44248</v>
      </c>
      <c r="M160" s="8">
        <v>1450.7</v>
      </c>
      <c r="N160" s="8">
        <f t="shared" si="2"/>
        <v>26.049999999999955</v>
      </c>
      <c r="O160" s="8">
        <f t="shared" si="3"/>
        <v>1.8285192854385255</v>
      </c>
      <c r="Q160" s="13">
        <v>44248</v>
      </c>
      <c r="R160" s="8">
        <v>14716.3</v>
      </c>
      <c r="S160" s="8">
        <f t="shared" si="16"/>
        <v>277.19999999999891</v>
      </c>
      <c r="T160" s="8">
        <f t="shared" si="17"/>
        <v>1.9197872443573276</v>
      </c>
      <c r="V160" s="13">
        <v>44248</v>
      </c>
      <c r="W160" s="8">
        <v>807.35</v>
      </c>
      <c r="X160" s="8">
        <f t="shared" si="6"/>
        <v>-41.199999999999932</v>
      </c>
      <c r="Y160" s="8">
        <f t="shared" si="7"/>
        <v>-4.8553414648517981</v>
      </c>
      <c r="AA160" s="13">
        <v>44248</v>
      </c>
      <c r="AB160" s="8">
        <v>4681.45</v>
      </c>
      <c r="AC160" s="8">
        <f t="shared" si="8"/>
        <v>-110.55000000000018</v>
      </c>
      <c r="AD160" s="8">
        <f t="shared" si="9"/>
        <v>-2.3069699499165313</v>
      </c>
      <c r="AF160" s="13">
        <v>44248</v>
      </c>
      <c r="AG160" s="8">
        <v>2428.9</v>
      </c>
      <c r="AH160" s="8">
        <f t="shared" si="10"/>
        <v>2.8499999999999091</v>
      </c>
      <c r="AI160" s="8">
        <f t="shared" si="11"/>
        <v>0.11747490777188882</v>
      </c>
      <c r="AK160" s="13">
        <v>44248</v>
      </c>
      <c r="AL160" s="8">
        <v>404</v>
      </c>
      <c r="AM160" s="8">
        <f t="shared" si="12"/>
        <v>-4.0500000000000114</v>
      </c>
      <c r="AN160" s="8">
        <f t="shared" si="13"/>
        <v>-0.99252542580566383</v>
      </c>
    </row>
    <row r="161" spans="2:40" x14ac:dyDescent="0.35">
      <c r="B161" s="13">
        <v>44241</v>
      </c>
      <c r="C161" s="8">
        <v>627.15</v>
      </c>
      <c r="D161" s="8">
        <f t="shared" si="0"/>
        <v>-7.6000000000000227</v>
      </c>
      <c r="E161" s="8">
        <f t="shared" si="1"/>
        <v>-1.1973217802284399</v>
      </c>
      <c r="G161" s="16">
        <v>44241</v>
      </c>
      <c r="H161" s="14">
        <v>3719.4</v>
      </c>
      <c r="I161" s="8">
        <v>-103.05</v>
      </c>
      <c r="J161" s="8">
        <v>-2.6959149240000002</v>
      </c>
      <c r="L161" s="13">
        <v>44241</v>
      </c>
      <c r="M161" s="8">
        <v>1424.65</v>
      </c>
      <c r="N161" s="8">
        <f t="shared" si="2"/>
        <v>-5.5</v>
      </c>
      <c r="O161" s="8">
        <f t="shared" si="3"/>
        <v>-0.38457504457574376</v>
      </c>
      <c r="Q161" s="13">
        <v>44241</v>
      </c>
      <c r="R161" s="8">
        <v>14439.1</v>
      </c>
      <c r="S161" s="8">
        <f t="shared" si="16"/>
        <v>-38.649999999999636</v>
      </c>
      <c r="T161" s="8">
        <f t="shared" si="17"/>
        <v>-0.26696137176011214</v>
      </c>
      <c r="V161" s="13">
        <v>44241</v>
      </c>
      <c r="W161" s="8">
        <v>848.55</v>
      </c>
      <c r="X161" s="8">
        <f t="shared" si="6"/>
        <v>0.84999999999990905</v>
      </c>
      <c r="Y161" s="8">
        <f t="shared" si="7"/>
        <v>0.10027132240178235</v>
      </c>
      <c r="AA161" s="13">
        <v>44241</v>
      </c>
      <c r="AB161" s="8">
        <v>4792</v>
      </c>
      <c r="AC161" s="8">
        <f t="shared" si="8"/>
        <v>-8.8999999999996362</v>
      </c>
      <c r="AD161" s="8">
        <f t="shared" si="9"/>
        <v>-0.18538190755899178</v>
      </c>
      <c r="AF161" s="13">
        <v>44241</v>
      </c>
      <c r="AG161" s="8">
        <v>2426.0500000000002</v>
      </c>
      <c r="AH161" s="8">
        <f t="shared" si="10"/>
        <v>29.700000000000273</v>
      </c>
      <c r="AI161" s="8">
        <f t="shared" si="11"/>
        <v>1.2393848978655153</v>
      </c>
      <c r="AK161" s="13">
        <v>44241</v>
      </c>
      <c r="AL161" s="8">
        <v>408.05</v>
      </c>
      <c r="AM161" s="8">
        <f t="shared" si="12"/>
        <v>0.85000000000002274</v>
      </c>
      <c r="AN161" s="8">
        <f t="shared" si="13"/>
        <v>0.20874263261297218</v>
      </c>
    </row>
    <row r="162" spans="2:40" x14ac:dyDescent="0.35">
      <c r="B162" s="13">
        <v>44234</v>
      </c>
      <c r="C162" s="8">
        <v>634.75</v>
      </c>
      <c r="D162" s="8">
        <f t="shared" si="0"/>
        <v>48.549999999999955</v>
      </c>
      <c r="E162" s="8">
        <f t="shared" si="1"/>
        <v>8.2821562606618819</v>
      </c>
      <c r="G162" s="16">
        <v>44234</v>
      </c>
      <c r="H162" s="14">
        <v>3822.45</v>
      </c>
      <c r="I162" s="8">
        <v>452.6</v>
      </c>
      <c r="J162" s="8">
        <v>13.43086488</v>
      </c>
      <c r="L162" s="13">
        <v>44234</v>
      </c>
      <c r="M162" s="8">
        <v>1430.15</v>
      </c>
      <c r="N162" s="8">
        <f t="shared" si="2"/>
        <v>-35.649999999999864</v>
      </c>
      <c r="O162" s="8">
        <f t="shared" si="3"/>
        <v>-2.4321189793969071</v>
      </c>
      <c r="Q162" s="13">
        <v>44234</v>
      </c>
      <c r="R162" s="8">
        <v>14477.75</v>
      </c>
      <c r="S162" s="8">
        <f t="shared" si="16"/>
        <v>255.70000000000073</v>
      </c>
      <c r="T162" s="8">
        <f t="shared" si="17"/>
        <v>1.7979123965954327</v>
      </c>
      <c r="V162" s="13">
        <v>44234</v>
      </c>
      <c r="W162" s="8">
        <v>847.7</v>
      </c>
      <c r="X162" s="8">
        <f t="shared" si="6"/>
        <v>21.800000000000068</v>
      </c>
      <c r="Y162" s="8">
        <f t="shared" si="7"/>
        <v>2.6395447390725351</v>
      </c>
      <c r="AA162" s="13">
        <v>44234</v>
      </c>
      <c r="AB162" s="8">
        <v>4800.8999999999996</v>
      </c>
      <c r="AC162" s="8">
        <f t="shared" si="8"/>
        <v>198.19999999999982</v>
      </c>
      <c r="AD162" s="8">
        <f t="shared" si="9"/>
        <v>4.3061681187129253</v>
      </c>
      <c r="AF162" s="13">
        <v>44234</v>
      </c>
      <c r="AG162" s="8">
        <v>2396.35</v>
      </c>
      <c r="AH162" s="8">
        <f t="shared" si="10"/>
        <v>148.84999999999991</v>
      </c>
      <c r="AI162" s="8">
        <f t="shared" si="11"/>
        <v>6.6229143492769706</v>
      </c>
      <c r="AK162" s="13">
        <v>44234</v>
      </c>
      <c r="AL162" s="8">
        <v>407.2</v>
      </c>
      <c r="AM162" s="8">
        <f t="shared" si="12"/>
        <v>35.399999999999977</v>
      </c>
      <c r="AN162" s="8">
        <f t="shared" si="13"/>
        <v>9.5212479827864378</v>
      </c>
    </row>
    <row r="163" spans="2:40" x14ac:dyDescent="0.35">
      <c r="B163" s="13">
        <v>44227</v>
      </c>
      <c r="C163" s="8">
        <v>586.20000000000005</v>
      </c>
      <c r="D163" s="8">
        <f t="shared" si="0"/>
        <v>11</v>
      </c>
      <c r="E163" s="8">
        <f t="shared" si="1"/>
        <v>1.9123783031988872</v>
      </c>
      <c r="G163" s="16">
        <v>44227</v>
      </c>
      <c r="H163" s="14">
        <v>3369.85</v>
      </c>
      <c r="I163" s="8">
        <v>-174.85</v>
      </c>
      <c r="J163" s="8">
        <v>-4.93271645</v>
      </c>
      <c r="L163" s="13">
        <v>44227</v>
      </c>
      <c r="M163" s="8">
        <v>1465.8</v>
      </c>
      <c r="N163" s="8">
        <f t="shared" si="2"/>
        <v>-52.049999999999955</v>
      </c>
      <c r="O163" s="8">
        <f t="shared" si="3"/>
        <v>-3.4291926079652111</v>
      </c>
      <c r="Q163" s="13">
        <v>44227</v>
      </c>
      <c r="R163" s="8">
        <v>14222.05</v>
      </c>
      <c r="S163" s="8">
        <f t="shared" si="16"/>
        <v>-177.85000000000036</v>
      </c>
      <c r="T163" s="8">
        <f t="shared" si="17"/>
        <v>-1.2350780213751511</v>
      </c>
      <c r="V163" s="13">
        <v>44227</v>
      </c>
      <c r="W163" s="8">
        <v>825.9</v>
      </c>
      <c r="X163" s="8">
        <f t="shared" si="6"/>
        <v>17.600000000000023</v>
      </c>
      <c r="Y163" s="8">
        <f t="shared" si="7"/>
        <v>2.1774093777062999</v>
      </c>
      <c r="AA163" s="13">
        <v>44227</v>
      </c>
      <c r="AB163" s="8">
        <v>4602.7</v>
      </c>
      <c r="AC163" s="8">
        <f t="shared" si="8"/>
        <v>-434.19999999999982</v>
      </c>
      <c r="AD163" s="8">
        <f t="shared" si="9"/>
        <v>-8.6203815839107367</v>
      </c>
      <c r="AF163" s="13">
        <v>44227</v>
      </c>
      <c r="AG163" s="8">
        <v>2247.5</v>
      </c>
      <c r="AH163" s="8">
        <f t="shared" si="10"/>
        <v>-51.199999999999818</v>
      </c>
      <c r="AI163" s="8">
        <f t="shared" si="11"/>
        <v>-2.227345891155863</v>
      </c>
      <c r="AK163" s="13">
        <v>44227</v>
      </c>
      <c r="AL163" s="8">
        <v>371.8</v>
      </c>
      <c r="AM163" s="8">
        <f t="shared" si="12"/>
        <v>-21.949999999999989</v>
      </c>
      <c r="AN163" s="8">
        <f t="shared" si="13"/>
        <v>-5.5746031746031726</v>
      </c>
    </row>
    <row r="164" spans="2:40" x14ac:dyDescent="0.35">
      <c r="B164" s="13">
        <v>44220</v>
      </c>
      <c r="C164" s="8">
        <v>575.20000000000005</v>
      </c>
      <c r="D164" s="8">
        <f t="shared" si="0"/>
        <v>-29.099999999999909</v>
      </c>
      <c r="E164" s="8">
        <f t="shared" si="1"/>
        <v>-4.8154889955320055</v>
      </c>
      <c r="G164" s="16">
        <v>44220</v>
      </c>
      <c r="H164" s="14">
        <v>3544.7</v>
      </c>
      <c r="I164" s="8">
        <v>-100.1</v>
      </c>
      <c r="J164" s="8">
        <v>-2.7463784019999999</v>
      </c>
      <c r="L164" s="13">
        <v>44220</v>
      </c>
      <c r="M164" s="8">
        <v>1517.85</v>
      </c>
      <c r="N164" s="8">
        <f t="shared" si="2"/>
        <v>-1.4500000000000455</v>
      </c>
      <c r="O164" s="8">
        <f t="shared" si="3"/>
        <v>-9.5438688869877275E-2</v>
      </c>
      <c r="Q164" s="13">
        <v>44220</v>
      </c>
      <c r="R164" s="8">
        <v>14399.9</v>
      </c>
      <c r="S164" s="8">
        <f t="shared" si="16"/>
        <v>-596.14999999999964</v>
      </c>
      <c r="T164" s="8">
        <f t="shared" si="17"/>
        <v>-3.9753801834483058</v>
      </c>
      <c r="V164" s="13">
        <v>44220</v>
      </c>
      <c r="W164" s="8">
        <v>808.3</v>
      </c>
      <c r="X164" s="8">
        <f t="shared" si="6"/>
        <v>-15.400000000000091</v>
      </c>
      <c r="Y164" s="8">
        <f t="shared" si="7"/>
        <v>-1.8696127230788018</v>
      </c>
      <c r="AA164" s="13">
        <v>44220</v>
      </c>
      <c r="AB164" s="8">
        <v>5036.8999999999996</v>
      </c>
      <c r="AC164" s="8">
        <f t="shared" si="8"/>
        <v>-175.90000000000055</v>
      </c>
      <c r="AD164" s="8">
        <f t="shared" si="9"/>
        <v>-3.37438612645796</v>
      </c>
      <c r="AF164" s="13">
        <v>44220</v>
      </c>
      <c r="AG164" s="8">
        <v>2298.6999999999998</v>
      </c>
      <c r="AH164" s="8">
        <f t="shared" si="10"/>
        <v>3.25</v>
      </c>
      <c r="AI164" s="8">
        <f t="shared" si="11"/>
        <v>0.14158443878106691</v>
      </c>
      <c r="AK164" s="13">
        <v>44220</v>
      </c>
      <c r="AL164" s="8">
        <v>393.75</v>
      </c>
      <c r="AM164" s="8">
        <f t="shared" si="12"/>
        <v>-63.300000000000011</v>
      </c>
      <c r="AN164" s="8">
        <f t="shared" si="13"/>
        <v>-13.849688217919267</v>
      </c>
    </row>
    <row r="165" spans="2:40" x14ac:dyDescent="0.35">
      <c r="B165" s="13">
        <v>44213</v>
      </c>
      <c r="C165" s="8">
        <v>604.29999999999995</v>
      </c>
      <c r="D165" s="8">
        <f t="shared" si="0"/>
        <v>-16.5</v>
      </c>
      <c r="E165" s="8">
        <f t="shared" si="1"/>
        <v>-2.6578608247422681</v>
      </c>
      <c r="G165" s="16">
        <v>44213</v>
      </c>
      <c r="H165" s="14">
        <v>3644.8</v>
      </c>
      <c r="I165" s="8">
        <v>-214.35</v>
      </c>
      <c r="J165" s="8">
        <v>-5.5543319120000003</v>
      </c>
      <c r="L165" s="13">
        <v>44213</v>
      </c>
      <c r="M165" s="8">
        <v>1519.3</v>
      </c>
      <c r="N165" s="8">
        <f t="shared" si="2"/>
        <v>-67.700000000000045</v>
      </c>
      <c r="O165" s="8">
        <f t="shared" si="3"/>
        <v>-4.2659105229993726</v>
      </c>
      <c r="Q165" s="13">
        <v>44213</v>
      </c>
      <c r="R165" s="8">
        <v>14996.05</v>
      </c>
      <c r="S165" s="8">
        <f t="shared" si="16"/>
        <v>-500</v>
      </c>
      <c r="T165" s="8">
        <f t="shared" si="17"/>
        <v>-3.2266287215129017</v>
      </c>
      <c r="V165" s="13">
        <v>44213</v>
      </c>
      <c r="W165" s="8">
        <v>823.7</v>
      </c>
      <c r="X165" s="8">
        <f t="shared" si="6"/>
        <v>-15</v>
      </c>
      <c r="Y165" s="8">
        <f t="shared" si="7"/>
        <v>-1.7884821747943245</v>
      </c>
      <c r="AA165" s="13">
        <v>44213</v>
      </c>
      <c r="AB165" s="8">
        <v>5212.8</v>
      </c>
      <c r="AC165" s="8">
        <f t="shared" si="8"/>
        <v>-125.44999999999982</v>
      </c>
      <c r="AD165" s="8">
        <f t="shared" si="9"/>
        <v>-2.3500210743221057</v>
      </c>
      <c r="AF165" s="13">
        <v>44213</v>
      </c>
      <c r="AG165" s="8">
        <v>2295.4499999999998</v>
      </c>
      <c r="AH165" s="8">
        <f t="shared" si="10"/>
        <v>-111.40000000000009</v>
      </c>
      <c r="AI165" s="8">
        <f t="shared" si="11"/>
        <v>-4.6284562810312275</v>
      </c>
      <c r="AK165" s="13">
        <v>44213</v>
      </c>
      <c r="AL165" s="8">
        <v>457.05</v>
      </c>
      <c r="AM165" s="8">
        <f t="shared" si="12"/>
        <v>-8.5999999999999659</v>
      </c>
      <c r="AN165" s="8">
        <f t="shared" si="13"/>
        <v>-1.8468807043917033</v>
      </c>
    </row>
    <row r="166" spans="2:40" x14ac:dyDescent="0.35">
      <c r="B166" s="13">
        <v>44206</v>
      </c>
      <c r="C166" s="8">
        <v>620.79999999999995</v>
      </c>
      <c r="D166" s="8">
        <f t="shared" si="0"/>
        <v>24.549999999999955</v>
      </c>
      <c r="E166" s="8">
        <f t="shared" si="1"/>
        <v>4.117400419287204</v>
      </c>
      <c r="G166" s="16">
        <v>44206</v>
      </c>
      <c r="H166" s="14">
        <v>3859.15</v>
      </c>
      <c r="I166" s="8">
        <v>10.1</v>
      </c>
      <c r="J166" s="8">
        <v>0.262402411</v>
      </c>
      <c r="L166" s="13">
        <v>44206</v>
      </c>
      <c r="M166" s="8">
        <v>1587</v>
      </c>
      <c r="N166" s="8">
        <f t="shared" si="2"/>
        <v>-24.5</v>
      </c>
      <c r="O166" s="8">
        <f t="shared" si="3"/>
        <v>-1.520322680732237</v>
      </c>
      <c r="Q166" s="13">
        <v>44206</v>
      </c>
      <c r="R166" s="8">
        <v>15496.05</v>
      </c>
      <c r="S166" s="8">
        <f t="shared" si="16"/>
        <v>-249.95000000000073</v>
      </c>
      <c r="T166" s="8">
        <f t="shared" si="17"/>
        <v>-1.5873872729582161</v>
      </c>
      <c r="V166" s="13">
        <v>44206</v>
      </c>
      <c r="W166" s="8">
        <v>838.7</v>
      </c>
      <c r="X166" s="8">
        <f t="shared" si="6"/>
        <v>12.100000000000023</v>
      </c>
      <c r="Y166" s="8">
        <f t="shared" si="7"/>
        <v>1.4638277280425869</v>
      </c>
      <c r="AA166" s="13">
        <v>44206</v>
      </c>
      <c r="AB166" s="8">
        <v>5338.25</v>
      </c>
      <c r="AC166" s="8">
        <f t="shared" si="8"/>
        <v>96.899999999999636</v>
      </c>
      <c r="AD166" s="8">
        <f t="shared" si="9"/>
        <v>1.8487603384624121</v>
      </c>
      <c r="AF166" s="13">
        <v>44206</v>
      </c>
      <c r="AG166" s="8">
        <v>2406.85</v>
      </c>
      <c r="AH166" s="8">
        <f t="shared" si="10"/>
        <v>-0.34999999999990905</v>
      </c>
      <c r="AI166" s="8">
        <f t="shared" si="11"/>
        <v>-1.4539714190757273E-2</v>
      </c>
      <c r="AK166" s="13">
        <v>44206</v>
      </c>
      <c r="AL166" s="8">
        <v>465.65</v>
      </c>
      <c r="AM166" s="8">
        <f t="shared" si="12"/>
        <v>-0.10000000000002274</v>
      </c>
      <c r="AN166" s="8">
        <f t="shared" si="13"/>
        <v>-2.1470746108432151E-2</v>
      </c>
    </row>
    <row r="167" spans="2:40" x14ac:dyDescent="0.35">
      <c r="B167" s="13">
        <v>44199</v>
      </c>
      <c r="C167" s="8">
        <v>596.25</v>
      </c>
      <c r="D167" s="8">
        <f t="shared" si="0"/>
        <v>5.7999999999999545</v>
      </c>
      <c r="E167" s="8">
        <f t="shared" si="1"/>
        <v>0.98230163434667694</v>
      </c>
      <c r="G167" s="16">
        <v>44199</v>
      </c>
      <c r="H167" s="14">
        <v>3849.05</v>
      </c>
      <c r="I167" s="8">
        <v>99.45</v>
      </c>
      <c r="J167" s="8">
        <v>2.6522829099999998</v>
      </c>
      <c r="L167" s="13">
        <v>44199</v>
      </c>
      <c r="M167" s="8">
        <v>1611.5</v>
      </c>
      <c r="N167" s="8">
        <f t="shared" si="2"/>
        <v>79</v>
      </c>
      <c r="O167" s="8">
        <f t="shared" si="3"/>
        <v>5.1549755301794455</v>
      </c>
      <c r="Q167" s="13">
        <v>44199</v>
      </c>
      <c r="R167" s="8">
        <v>15746</v>
      </c>
      <c r="S167" s="8">
        <f t="shared" si="16"/>
        <v>18.600000000000364</v>
      </c>
      <c r="T167" s="8">
        <f t="shared" si="17"/>
        <v>0.11826493889645055</v>
      </c>
      <c r="V167" s="13">
        <v>44199</v>
      </c>
      <c r="W167" s="8">
        <v>826.6</v>
      </c>
      <c r="X167" s="8">
        <f t="shared" si="6"/>
        <v>-6.6000000000000227</v>
      </c>
      <c r="Y167" s="8">
        <f t="shared" si="7"/>
        <v>-0.79212674027844721</v>
      </c>
      <c r="AA167" s="13">
        <v>44199</v>
      </c>
      <c r="AB167" s="8">
        <v>5241.3500000000004</v>
      </c>
      <c r="AC167" s="8">
        <f t="shared" si="8"/>
        <v>39.550000000000182</v>
      </c>
      <c r="AD167" s="8">
        <f t="shared" si="9"/>
        <v>0.76031373755238918</v>
      </c>
      <c r="AF167" s="13">
        <v>44199</v>
      </c>
      <c r="AG167" s="8">
        <v>2407.1999999999998</v>
      </c>
      <c r="AH167" s="8">
        <f t="shared" si="10"/>
        <v>135.09999999999991</v>
      </c>
      <c r="AI167" s="8">
        <f t="shared" si="11"/>
        <v>5.9460411073456232</v>
      </c>
      <c r="AK167" s="13">
        <v>44199</v>
      </c>
      <c r="AL167" s="8">
        <v>465.75</v>
      </c>
      <c r="AM167" s="8">
        <f t="shared" si="12"/>
        <v>-16.199999999999989</v>
      </c>
      <c r="AN167" s="8">
        <f t="shared" si="13"/>
        <v>-3.3613445378151239</v>
      </c>
    </row>
    <row r="168" spans="2:40" x14ac:dyDescent="0.35">
      <c r="B168" s="13">
        <v>44192</v>
      </c>
      <c r="C168" s="8">
        <v>590.45000000000005</v>
      </c>
      <c r="D168" s="8">
        <f t="shared" si="0"/>
        <v>15.450000000000045</v>
      </c>
      <c r="E168" s="8">
        <f t="shared" si="1"/>
        <v>2.6869565217391385</v>
      </c>
      <c r="G168" s="16">
        <v>44192</v>
      </c>
      <c r="H168" s="14">
        <v>3749.6</v>
      </c>
      <c r="I168" s="8">
        <v>-83.3</v>
      </c>
      <c r="J168" s="8">
        <v>-2.1732891539999999</v>
      </c>
      <c r="L168" s="13">
        <v>44192</v>
      </c>
      <c r="M168" s="8">
        <v>1532.5</v>
      </c>
      <c r="N168" s="8">
        <f t="shared" si="2"/>
        <v>-79.900000000000091</v>
      </c>
      <c r="O168" s="8">
        <f t="shared" si="3"/>
        <v>-4.9553460679732133</v>
      </c>
      <c r="Q168" s="13">
        <v>44192</v>
      </c>
      <c r="R168" s="8">
        <v>15727.4</v>
      </c>
      <c r="S168" s="8">
        <f t="shared" si="16"/>
        <v>-450.70000000000073</v>
      </c>
      <c r="T168" s="8">
        <f t="shared" si="17"/>
        <v>-2.7858648419777396</v>
      </c>
      <c r="V168" s="13">
        <v>44192</v>
      </c>
      <c r="W168" s="8">
        <v>833.2</v>
      </c>
      <c r="X168" s="8">
        <f t="shared" si="6"/>
        <v>39.75</v>
      </c>
      <c r="Y168" s="8">
        <f t="shared" si="7"/>
        <v>5.009767471170206</v>
      </c>
      <c r="AA168" s="13">
        <v>44192</v>
      </c>
      <c r="AB168" s="8">
        <v>5201.8</v>
      </c>
      <c r="AC168" s="8">
        <f t="shared" si="8"/>
        <v>-26.949999999999818</v>
      </c>
      <c r="AD168" s="8">
        <f t="shared" si="9"/>
        <v>-0.51541955534305173</v>
      </c>
      <c r="AF168" s="13">
        <v>44192</v>
      </c>
      <c r="AG168" s="8">
        <v>2272.1</v>
      </c>
      <c r="AH168" s="8">
        <f t="shared" si="10"/>
        <v>90.400000000000091</v>
      </c>
      <c r="AI168" s="8">
        <f t="shared" si="11"/>
        <v>4.1435577760462072</v>
      </c>
      <c r="AK168" s="13">
        <v>44192</v>
      </c>
      <c r="AL168" s="8">
        <v>481.95</v>
      </c>
      <c r="AM168" s="8">
        <f t="shared" si="12"/>
        <v>10</v>
      </c>
      <c r="AN168" s="8">
        <f t="shared" si="13"/>
        <v>2.1188685242080729</v>
      </c>
    </row>
    <row r="169" spans="2:40" x14ac:dyDescent="0.35">
      <c r="B169" s="13">
        <v>44185</v>
      </c>
      <c r="C169" s="8">
        <v>575</v>
      </c>
      <c r="D169" s="8">
        <f t="shared" si="0"/>
        <v>6.8999999999999773</v>
      </c>
      <c r="E169" s="8">
        <f t="shared" si="1"/>
        <v>1.214574898785421</v>
      </c>
      <c r="G169" s="16">
        <v>44185</v>
      </c>
      <c r="H169" s="14">
        <v>3832.9</v>
      </c>
      <c r="I169" s="8">
        <v>190.8</v>
      </c>
      <c r="J169" s="8">
        <v>5.2387358940000004</v>
      </c>
      <c r="L169" s="13">
        <v>44185</v>
      </c>
      <c r="M169" s="8">
        <v>1612.4</v>
      </c>
      <c r="N169" s="8">
        <f t="shared" si="2"/>
        <v>61.25</v>
      </c>
      <c r="O169" s="8">
        <f t="shared" si="3"/>
        <v>3.9486832350191792</v>
      </c>
      <c r="Q169" s="13">
        <v>44185</v>
      </c>
      <c r="R169" s="8">
        <v>16178.1</v>
      </c>
      <c r="S169" s="8">
        <f t="shared" si="16"/>
        <v>90.550000000001091</v>
      </c>
      <c r="T169" s="8">
        <f t="shared" si="17"/>
        <v>0.56285761349615759</v>
      </c>
      <c r="V169" s="13">
        <v>44185</v>
      </c>
      <c r="W169" s="8">
        <v>793.45</v>
      </c>
      <c r="X169" s="8">
        <f t="shared" si="6"/>
        <v>37.600000000000023</v>
      </c>
      <c r="Y169" s="8">
        <f t="shared" si="7"/>
        <v>4.9745319838592339</v>
      </c>
      <c r="AA169" s="13">
        <v>44185</v>
      </c>
      <c r="AB169" s="8">
        <v>5228.75</v>
      </c>
      <c r="AC169" s="8">
        <f t="shared" si="8"/>
        <v>211.80000000000018</v>
      </c>
      <c r="AD169" s="8">
        <f t="shared" si="9"/>
        <v>4.2216884760661397</v>
      </c>
      <c r="AF169" s="13">
        <v>44185</v>
      </c>
      <c r="AG169" s="8">
        <v>2181.6999999999998</v>
      </c>
      <c r="AH169" s="8">
        <f t="shared" si="10"/>
        <v>-5.1500000000000909</v>
      </c>
      <c r="AI169" s="8">
        <f t="shared" si="11"/>
        <v>-0.23549854814002291</v>
      </c>
      <c r="AK169" s="13">
        <v>44185</v>
      </c>
      <c r="AL169" s="8">
        <v>471.95</v>
      </c>
      <c r="AM169" s="8">
        <f t="shared" si="12"/>
        <v>16.449999999999989</v>
      </c>
      <c r="AN169" s="8">
        <f t="shared" si="13"/>
        <v>3.6114160263446737</v>
      </c>
    </row>
    <row r="170" spans="2:40" x14ac:dyDescent="0.35">
      <c r="B170" s="13">
        <v>44178</v>
      </c>
      <c r="C170" s="8">
        <v>568.1</v>
      </c>
      <c r="D170" s="8">
        <f t="shared" si="0"/>
        <v>-0.94999999999993179</v>
      </c>
      <c r="E170" s="8">
        <f t="shared" si="1"/>
        <v>-0.16694490818028854</v>
      </c>
      <c r="G170" s="16">
        <v>44178</v>
      </c>
      <c r="H170" s="14">
        <v>3642.1</v>
      </c>
      <c r="I170" s="8">
        <v>-69.849999999999994</v>
      </c>
      <c r="J170" s="8">
        <v>-1.8817602609999999</v>
      </c>
      <c r="L170" s="13">
        <v>44178</v>
      </c>
      <c r="M170" s="8">
        <v>1551.15</v>
      </c>
      <c r="N170" s="8">
        <f t="shared" si="2"/>
        <v>-0.89999999999986358</v>
      </c>
      <c r="O170" s="8">
        <f t="shared" si="3"/>
        <v>-5.7987822557254189E-2</v>
      </c>
      <c r="Q170" s="13">
        <v>44178</v>
      </c>
      <c r="R170" s="8">
        <v>16087.55</v>
      </c>
      <c r="S170" s="8">
        <f t="shared" si="16"/>
        <v>840.5</v>
      </c>
      <c r="T170" s="8">
        <f t="shared" si="17"/>
        <v>5.5125417703752531</v>
      </c>
      <c r="V170" s="13">
        <v>44178</v>
      </c>
      <c r="W170" s="8">
        <v>755.85</v>
      </c>
      <c r="X170" s="8">
        <f t="shared" si="6"/>
        <v>-11.100000000000023</v>
      </c>
      <c r="Y170" s="8">
        <f t="shared" si="7"/>
        <v>-1.4472912184627449</v>
      </c>
      <c r="AA170" s="13">
        <v>44178</v>
      </c>
      <c r="AB170" s="8">
        <v>5016.95</v>
      </c>
      <c r="AC170" s="8">
        <f t="shared" si="8"/>
        <v>108.39999999999964</v>
      </c>
      <c r="AD170" s="8">
        <f t="shared" si="9"/>
        <v>2.2083914801723448</v>
      </c>
      <c r="AF170" s="13">
        <v>44178</v>
      </c>
      <c r="AG170" s="8">
        <v>2186.85</v>
      </c>
      <c r="AH170" s="8">
        <f t="shared" si="10"/>
        <v>-50.300000000000182</v>
      </c>
      <c r="AI170" s="8">
        <f t="shared" si="11"/>
        <v>-2.2483963972018048</v>
      </c>
      <c r="AK170" s="13">
        <v>44178</v>
      </c>
      <c r="AL170" s="8">
        <v>455.5</v>
      </c>
      <c r="AM170" s="8">
        <f t="shared" si="12"/>
        <v>12.850000000000023</v>
      </c>
      <c r="AN170" s="8">
        <f t="shared" si="13"/>
        <v>2.9029707443804411</v>
      </c>
    </row>
    <row r="171" spans="2:40" x14ac:dyDescent="0.35">
      <c r="B171" s="13">
        <v>44171</v>
      </c>
      <c r="C171" s="8">
        <v>569.04999999999995</v>
      </c>
      <c r="D171" s="8">
        <f t="shared" si="0"/>
        <v>57.399999999999977</v>
      </c>
      <c r="E171" s="8">
        <f t="shared" si="1"/>
        <v>11.218606469266097</v>
      </c>
      <c r="G171" s="16">
        <v>44171</v>
      </c>
      <c r="H171" s="14">
        <v>3711.95</v>
      </c>
      <c r="I171" s="8">
        <v>106.85</v>
      </c>
      <c r="J171" s="8">
        <v>2.9638567579999999</v>
      </c>
      <c r="L171" s="13">
        <v>44171</v>
      </c>
      <c r="M171" s="8">
        <v>1552.05</v>
      </c>
      <c r="N171" s="8">
        <f t="shared" si="2"/>
        <v>-1.4000000000000909</v>
      </c>
      <c r="O171" s="8">
        <f t="shared" si="3"/>
        <v>-9.0121986546080723E-2</v>
      </c>
      <c r="Q171" s="13">
        <v>44171</v>
      </c>
      <c r="R171" s="8">
        <v>15247.05</v>
      </c>
      <c r="S171" s="8">
        <f t="shared" si="16"/>
        <v>-152</v>
      </c>
      <c r="T171" s="8">
        <f t="shared" si="17"/>
        <v>-0.98707387793402845</v>
      </c>
      <c r="V171" s="13">
        <v>44171</v>
      </c>
      <c r="W171" s="8">
        <v>766.95</v>
      </c>
      <c r="X171" s="8">
        <f t="shared" si="6"/>
        <v>21.350000000000023</v>
      </c>
      <c r="Y171" s="8">
        <f t="shared" si="7"/>
        <v>2.8634656652360544</v>
      </c>
      <c r="AA171" s="13">
        <v>44171</v>
      </c>
      <c r="AB171" s="8">
        <v>4908.55</v>
      </c>
      <c r="AC171" s="8">
        <f t="shared" si="8"/>
        <v>79.600000000000364</v>
      </c>
      <c r="AD171" s="8">
        <f t="shared" si="9"/>
        <v>1.6483914722662352</v>
      </c>
      <c r="AF171" s="13">
        <v>44171</v>
      </c>
      <c r="AG171" s="8">
        <v>2237.15</v>
      </c>
      <c r="AH171" s="8">
        <f t="shared" si="10"/>
        <v>-53.349999999999909</v>
      </c>
      <c r="AI171" s="8">
        <f t="shared" si="11"/>
        <v>-2.3291857672997121</v>
      </c>
      <c r="AK171" s="13">
        <v>44171</v>
      </c>
      <c r="AL171" s="8">
        <v>442.65</v>
      </c>
      <c r="AM171" s="8">
        <f t="shared" si="12"/>
        <v>13.299999999999955</v>
      </c>
      <c r="AN171" s="8">
        <f t="shared" si="13"/>
        <v>3.0977058344008279</v>
      </c>
    </row>
    <row r="172" spans="2:40" x14ac:dyDescent="0.35">
      <c r="B172" s="13">
        <v>44164</v>
      </c>
      <c r="C172" s="8">
        <v>511.65</v>
      </c>
      <c r="D172" s="8">
        <f t="shared" si="0"/>
        <v>8.3999999999999773</v>
      </c>
      <c r="E172" s="8">
        <f t="shared" si="1"/>
        <v>1.6691505216095335</v>
      </c>
      <c r="G172" s="16">
        <v>44164</v>
      </c>
      <c r="H172" s="14">
        <v>3605.1</v>
      </c>
      <c r="I172" s="8">
        <v>136</v>
      </c>
      <c r="J172" s="8">
        <v>3.9203251560000001</v>
      </c>
      <c r="L172" s="13">
        <v>44164</v>
      </c>
      <c r="M172" s="8">
        <v>1553.45</v>
      </c>
      <c r="N172" s="8">
        <f t="shared" si="2"/>
        <v>29.25</v>
      </c>
      <c r="O172" s="8">
        <f t="shared" si="3"/>
        <v>1.9190394961291168</v>
      </c>
      <c r="Q172" s="13">
        <v>44164</v>
      </c>
      <c r="R172" s="8">
        <v>15399.05</v>
      </c>
      <c r="S172" s="8">
        <f t="shared" si="16"/>
        <v>54.5</v>
      </c>
      <c r="T172" s="8">
        <f t="shared" si="17"/>
        <v>0.3551749644010414</v>
      </c>
      <c r="V172" s="13">
        <v>44164</v>
      </c>
      <c r="W172" s="8">
        <v>745.6</v>
      </c>
      <c r="X172" s="8">
        <f t="shared" si="6"/>
        <v>5.7000000000000455</v>
      </c>
      <c r="Y172" s="8">
        <f t="shared" si="7"/>
        <v>0.77037437491553529</v>
      </c>
      <c r="AA172" s="13">
        <v>44164</v>
      </c>
      <c r="AB172" s="8">
        <v>4828.95</v>
      </c>
      <c r="AC172" s="8">
        <f t="shared" si="8"/>
        <v>158</v>
      </c>
      <c r="AD172" s="8">
        <f t="shared" si="9"/>
        <v>3.3826095333925648</v>
      </c>
      <c r="AF172" s="13">
        <v>44164</v>
      </c>
      <c r="AG172" s="8">
        <v>2290.5</v>
      </c>
      <c r="AH172" s="8">
        <f t="shared" si="10"/>
        <v>93.550000000000182</v>
      </c>
      <c r="AI172" s="8">
        <f t="shared" si="11"/>
        <v>4.2581761077858022</v>
      </c>
      <c r="AK172" s="13">
        <v>44164</v>
      </c>
      <c r="AL172" s="8">
        <v>429.35</v>
      </c>
      <c r="AM172" s="8">
        <f t="shared" si="12"/>
        <v>9.4000000000000341</v>
      </c>
      <c r="AN172" s="8">
        <f t="shared" si="13"/>
        <v>2.2383617097273567</v>
      </c>
    </row>
    <row r="173" spans="2:40" x14ac:dyDescent="0.35">
      <c r="B173" s="13">
        <v>44157</v>
      </c>
      <c r="C173" s="8">
        <v>503.25</v>
      </c>
      <c r="D173" s="8">
        <f t="shared" si="0"/>
        <v>-10.75</v>
      </c>
      <c r="E173" s="8">
        <f t="shared" si="1"/>
        <v>-2.0914396887159534</v>
      </c>
      <c r="G173" s="16">
        <v>44157</v>
      </c>
      <c r="H173" s="14">
        <v>3469.1</v>
      </c>
      <c r="I173" s="8">
        <v>24.15</v>
      </c>
      <c r="J173" s="8">
        <v>0.70102613970000005</v>
      </c>
      <c r="L173" s="13">
        <v>44157</v>
      </c>
      <c r="M173" s="8">
        <v>1524.2</v>
      </c>
      <c r="N173" s="8">
        <f t="shared" si="2"/>
        <v>82.100000000000136</v>
      </c>
      <c r="O173" s="8">
        <f t="shared" si="3"/>
        <v>5.6930864711185185</v>
      </c>
      <c r="Q173" s="13">
        <v>44157</v>
      </c>
      <c r="R173" s="8">
        <v>15344.55</v>
      </c>
      <c r="S173" s="8">
        <f t="shared" si="16"/>
        <v>-251</v>
      </c>
      <c r="T173" s="8">
        <f t="shared" si="17"/>
        <v>-1.6094334601857583</v>
      </c>
      <c r="V173" s="13">
        <v>44157</v>
      </c>
      <c r="W173" s="8">
        <v>739.9</v>
      </c>
      <c r="X173" s="8">
        <f t="shared" si="6"/>
        <v>-5.8500000000000227</v>
      </c>
      <c r="Y173" s="8">
        <f t="shared" si="7"/>
        <v>-0.78444518940664065</v>
      </c>
      <c r="AA173" s="13">
        <v>44157</v>
      </c>
      <c r="AB173" s="8">
        <v>4670.95</v>
      </c>
      <c r="AC173" s="8">
        <f t="shared" si="8"/>
        <v>-201.10000000000036</v>
      </c>
      <c r="AD173" s="8">
        <f t="shared" si="9"/>
        <v>-4.1276259480095723</v>
      </c>
      <c r="AF173" s="13">
        <v>44157</v>
      </c>
      <c r="AG173" s="8">
        <v>2196.9499999999998</v>
      </c>
      <c r="AH173" s="8">
        <f t="shared" si="10"/>
        <v>4.75</v>
      </c>
      <c r="AI173" s="8">
        <f t="shared" si="11"/>
        <v>0.21667731046437372</v>
      </c>
      <c r="AK173" s="13">
        <v>44157</v>
      </c>
      <c r="AL173" s="8">
        <v>419.95</v>
      </c>
      <c r="AM173" s="8">
        <f t="shared" si="12"/>
        <v>-14</v>
      </c>
      <c r="AN173" s="8">
        <f t="shared" si="13"/>
        <v>-3.2261781311210971</v>
      </c>
    </row>
    <row r="174" spans="2:40" x14ac:dyDescent="0.35">
      <c r="B174" s="13">
        <v>44150</v>
      </c>
      <c r="C174" s="8">
        <v>514</v>
      </c>
      <c r="D174" s="8">
        <f t="shared" si="0"/>
        <v>4.8500000000000227</v>
      </c>
      <c r="E174" s="8">
        <f t="shared" si="1"/>
        <v>0.95256800549936615</v>
      </c>
      <c r="G174" s="16">
        <v>44150</v>
      </c>
      <c r="H174" s="14">
        <v>3444.95</v>
      </c>
      <c r="I174" s="8">
        <v>207.7</v>
      </c>
      <c r="J174" s="8">
        <v>6.4159394550000002</v>
      </c>
      <c r="L174" s="13">
        <v>44150</v>
      </c>
      <c r="M174" s="8">
        <v>1442.1</v>
      </c>
      <c r="N174" s="8">
        <f t="shared" si="2"/>
        <v>41.549999999999955</v>
      </c>
      <c r="O174" s="8">
        <f t="shared" si="3"/>
        <v>2.966691656849092</v>
      </c>
      <c r="Q174" s="13">
        <v>44150</v>
      </c>
      <c r="R174" s="8">
        <v>15595.55</v>
      </c>
      <c r="S174" s="8">
        <f t="shared" si="16"/>
        <v>-302.25</v>
      </c>
      <c r="T174" s="8">
        <f t="shared" si="17"/>
        <v>-1.9012064562392281</v>
      </c>
      <c r="V174" s="13">
        <v>44150</v>
      </c>
      <c r="W174" s="8">
        <v>745.75</v>
      </c>
      <c r="X174" s="8">
        <f t="shared" si="6"/>
        <v>-44.200000000000045</v>
      </c>
      <c r="Y174" s="8">
        <f t="shared" si="7"/>
        <v>-5.5952908411924858</v>
      </c>
      <c r="AA174" s="13">
        <v>44150</v>
      </c>
      <c r="AB174" s="8">
        <v>4872.05</v>
      </c>
      <c r="AC174" s="8">
        <f t="shared" si="8"/>
        <v>-30.899999999999636</v>
      </c>
      <c r="AD174" s="8">
        <f t="shared" si="9"/>
        <v>-0.63023281901711492</v>
      </c>
      <c r="AF174" s="13">
        <v>44150</v>
      </c>
      <c r="AG174" s="8">
        <v>2192.1999999999998</v>
      </c>
      <c r="AH174" s="8">
        <f t="shared" si="10"/>
        <v>-126.45000000000027</v>
      </c>
      <c r="AI174" s="8">
        <f t="shared" si="11"/>
        <v>-5.4536044681172351</v>
      </c>
      <c r="AK174" s="13">
        <v>44150</v>
      </c>
      <c r="AL174" s="8">
        <v>433.95</v>
      </c>
      <c r="AM174" s="8">
        <f t="shared" si="12"/>
        <v>19.149999999999977</v>
      </c>
      <c r="AN174" s="8">
        <f t="shared" si="13"/>
        <v>4.6166827386692324</v>
      </c>
    </row>
    <row r="175" spans="2:40" x14ac:dyDescent="0.35">
      <c r="B175" s="13">
        <v>44143</v>
      </c>
      <c r="C175" s="8">
        <v>509.15</v>
      </c>
      <c r="D175" s="8">
        <f t="shared" si="0"/>
        <v>43.399999999999977</v>
      </c>
      <c r="E175" s="8">
        <f t="shared" si="1"/>
        <v>9.3183038110574312</v>
      </c>
      <c r="G175" s="16">
        <v>44143</v>
      </c>
      <c r="H175" s="14">
        <v>3237.25</v>
      </c>
      <c r="I175" s="8">
        <v>95.2</v>
      </c>
      <c r="J175" s="8">
        <v>3.0298690349999999</v>
      </c>
      <c r="L175" s="13">
        <v>44143</v>
      </c>
      <c r="M175" s="8">
        <v>1400.55</v>
      </c>
      <c r="N175" s="8">
        <f t="shared" si="2"/>
        <v>-64.200000000000045</v>
      </c>
      <c r="O175" s="8">
        <f t="shared" si="3"/>
        <v>-4.3830005120327735</v>
      </c>
      <c r="Q175" s="13">
        <v>44143</v>
      </c>
      <c r="R175" s="8">
        <v>15897.8</v>
      </c>
      <c r="S175" s="8">
        <f t="shared" si="16"/>
        <v>599.64999999999964</v>
      </c>
      <c r="T175" s="8">
        <f t="shared" si="17"/>
        <v>3.9197550030559229</v>
      </c>
      <c r="V175" s="13">
        <v>44143</v>
      </c>
      <c r="W175" s="8">
        <v>789.95</v>
      </c>
      <c r="X175" s="8">
        <f t="shared" si="6"/>
        <v>35.450000000000045</v>
      </c>
      <c r="Y175" s="8">
        <f t="shared" si="7"/>
        <v>4.6984758117958974</v>
      </c>
      <c r="AA175" s="13">
        <v>44143</v>
      </c>
      <c r="AB175" s="8">
        <v>4902.95</v>
      </c>
      <c r="AC175" s="8">
        <f t="shared" si="8"/>
        <v>14.300000000000182</v>
      </c>
      <c r="AD175" s="8">
        <f t="shared" si="9"/>
        <v>0.2925142933120633</v>
      </c>
      <c r="AF175" s="13">
        <v>44143</v>
      </c>
      <c r="AG175" s="8">
        <v>2318.65</v>
      </c>
      <c r="AH175" s="8">
        <f t="shared" si="10"/>
        <v>21.800000000000182</v>
      </c>
      <c r="AI175" s="8">
        <f t="shared" si="11"/>
        <v>0.949125976881389</v>
      </c>
      <c r="AK175" s="13">
        <v>44143</v>
      </c>
      <c r="AL175" s="8">
        <v>414.8</v>
      </c>
      <c r="AM175" s="8">
        <f t="shared" si="12"/>
        <v>11.199999999999989</v>
      </c>
      <c r="AN175" s="8">
        <f t="shared" si="13"/>
        <v>2.7750247770069345</v>
      </c>
    </row>
    <row r="176" spans="2:40" x14ac:dyDescent="0.35">
      <c r="B176" s="13">
        <v>44136</v>
      </c>
      <c r="C176" s="8">
        <v>465.75</v>
      </c>
      <c r="D176" s="8">
        <f t="shared" si="0"/>
        <v>-18.75</v>
      </c>
      <c r="E176" s="8">
        <f t="shared" si="1"/>
        <v>-3.8699690402476778</v>
      </c>
      <c r="G176" s="16">
        <v>44136</v>
      </c>
      <c r="H176" s="14">
        <v>3142.05</v>
      </c>
      <c r="I176" s="8">
        <v>73.2</v>
      </c>
      <c r="J176" s="8">
        <v>2.3852583219999999</v>
      </c>
      <c r="L176" s="13">
        <v>44136</v>
      </c>
      <c r="M176" s="8">
        <v>1464.75</v>
      </c>
      <c r="N176" s="8">
        <f t="shared" si="2"/>
        <v>-39.400000000000091</v>
      </c>
      <c r="O176" s="8">
        <f t="shared" si="3"/>
        <v>-2.6194196057574106</v>
      </c>
      <c r="Q176" s="13">
        <v>44136</v>
      </c>
      <c r="R176" s="8">
        <v>15298.15</v>
      </c>
      <c r="S176" s="8">
        <f t="shared" si="16"/>
        <v>-326.45000000000073</v>
      </c>
      <c r="T176" s="8">
        <f t="shared" si="17"/>
        <v>-2.0893334869372704</v>
      </c>
      <c r="V176" s="13">
        <v>44136</v>
      </c>
      <c r="W176" s="8">
        <v>754.5</v>
      </c>
      <c r="X176" s="8">
        <f t="shared" si="6"/>
        <v>-3.0499999999999545</v>
      </c>
      <c r="Y176" s="8">
        <f t="shared" si="7"/>
        <v>-0.40261368886541543</v>
      </c>
      <c r="AA176" s="13">
        <v>44136</v>
      </c>
      <c r="AB176" s="8">
        <v>4888.6499999999996</v>
      </c>
      <c r="AC176" s="8">
        <f t="shared" si="8"/>
        <v>-129.60000000000036</v>
      </c>
      <c r="AD176" s="8">
        <f t="shared" si="9"/>
        <v>-2.5825736063368776</v>
      </c>
      <c r="AF176" s="13">
        <v>44136</v>
      </c>
      <c r="AG176" s="8">
        <v>2296.85</v>
      </c>
      <c r="AH176" s="8">
        <f t="shared" si="10"/>
        <v>0.15000000000009095</v>
      </c>
      <c r="AI176" s="8">
        <f t="shared" si="11"/>
        <v>6.5311098532716922E-3</v>
      </c>
      <c r="AK176" s="13">
        <v>44136</v>
      </c>
      <c r="AL176" s="8">
        <v>403.6</v>
      </c>
      <c r="AM176" s="8">
        <f t="shared" si="12"/>
        <v>-13.599999999999966</v>
      </c>
      <c r="AN176" s="8">
        <f t="shared" si="13"/>
        <v>-3.2598274209012383</v>
      </c>
    </row>
    <row r="177" spans="2:40" x14ac:dyDescent="0.35">
      <c r="B177" s="13">
        <v>44129</v>
      </c>
      <c r="C177" s="8">
        <v>484.5</v>
      </c>
      <c r="D177" s="8">
        <f t="shared" si="0"/>
        <v>-2.3999999999999773</v>
      </c>
      <c r="E177" s="8">
        <f t="shared" si="1"/>
        <v>-0.49291435613061768</v>
      </c>
      <c r="G177" s="16">
        <v>44129</v>
      </c>
      <c r="H177" s="14">
        <v>3068.85</v>
      </c>
      <c r="I177" s="8">
        <v>-153.85</v>
      </c>
      <c r="J177" s="8">
        <v>-4.7739473109999997</v>
      </c>
      <c r="L177" s="13">
        <v>44129</v>
      </c>
      <c r="M177" s="8">
        <v>1504.15</v>
      </c>
      <c r="N177" s="8">
        <f t="shared" si="2"/>
        <v>-13.099999999999909</v>
      </c>
      <c r="O177" s="8">
        <f t="shared" si="3"/>
        <v>-0.86340418520348716</v>
      </c>
      <c r="Q177" s="13">
        <v>44129</v>
      </c>
      <c r="R177" s="8">
        <v>15624.6</v>
      </c>
      <c r="S177" s="8">
        <f t="shared" si="16"/>
        <v>-406.85000000000036</v>
      </c>
      <c r="T177" s="8">
        <f t="shared" si="17"/>
        <v>-2.5378240895240314</v>
      </c>
      <c r="V177" s="13">
        <v>44129</v>
      </c>
      <c r="W177" s="8">
        <v>757.55</v>
      </c>
      <c r="X177" s="8">
        <f t="shared" si="6"/>
        <v>-24.800000000000068</v>
      </c>
      <c r="Y177" s="8">
        <f t="shared" si="7"/>
        <v>-3.1699367290854563</v>
      </c>
      <c r="AA177" s="13">
        <v>44129</v>
      </c>
      <c r="AB177" s="8">
        <v>5018.25</v>
      </c>
      <c r="AC177" s="8">
        <f t="shared" si="8"/>
        <v>-62.300000000000182</v>
      </c>
      <c r="AD177" s="8">
        <f t="shared" si="9"/>
        <v>-1.2262451899892763</v>
      </c>
      <c r="AF177" s="13">
        <v>44129</v>
      </c>
      <c r="AG177" s="8">
        <v>2296.6999999999998</v>
      </c>
      <c r="AH177" s="8">
        <f t="shared" si="10"/>
        <v>230.25</v>
      </c>
      <c r="AI177" s="8">
        <f t="shared" si="11"/>
        <v>11.142297176316873</v>
      </c>
      <c r="AK177" s="13">
        <v>44129</v>
      </c>
      <c r="AL177" s="8">
        <v>417.2</v>
      </c>
      <c r="AM177" s="8">
        <f t="shared" si="12"/>
        <v>-30.699999999999989</v>
      </c>
      <c r="AN177" s="8">
        <f t="shared" si="13"/>
        <v>-6.8542085286894379</v>
      </c>
    </row>
    <row r="178" spans="2:40" x14ac:dyDescent="0.35">
      <c r="B178" s="13">
        <v>44122</v>
      </c>
      <c r="C178" s="8">
        <v>486.9</v>
      </c>
      <c r="D178" s="8">
        <f t="shared" si="0"/>
        <v>-26</v>
      </c>
      <c r="E178" s="8">
        <f t="shared" si="1"/>
        <v>-5.0692142717878728</v>
      </c>
      <c r="G178" s="16">
        <v>44122</v>
      </c>
      <c r="H178" s="14">
        <v>3222.7</v>
      </c>
      <c r="I178" s="8">
        <v>32.700000000000003</v>
      </c>
      <c r="J178" s="8">
        <v>1.0250783699999999</v>
      </c>
      <c r="L178" s="13">
        <v>44122</v>
      </c>
      <c r="M178" s="8">
        <v>1517.25</v>
      </c>
      <c r="N178" s="8">
        <f t="shared" si="2"/>
        <v>-40.549999999999955</v>
      </c>
      <c r="O178" s="8">
        <f t="shared" si="3"/>
        <v>-2.6030299139812527</v>
      </c>
      <c r="Q178" s="13">
        <v>44122</v>
      </c>
      <c r="R178" s="8">
        <v>16031.45</v>
      </c>
      <c r="S178" s="8">
        <f t="shared" si="16"/>
        <v>-4.5999999999985448</v>
      </c>
      <c r="T178" s="8">
        <f t="shared" si="17"/>
        <v>-2.8685368279585965E-2</v>
      </c>
      <c r="V178" s="13">
        <v>44122</v>
      </c>
      <c r="W178" s="8">
        <v>782.35</v>
      </c>
      <c r="X178" s="8">
        <f t="shared" si="6"/>
        <v>-20.799999999999955</v>
      </c>
      <c r="Y178" s="8">
        <f t="shared" si="7"/>
        <v>-2.5898026520575179</v>
      </c>
      <c r="AA178" s="13">
        <v>44122</v>
      </c>
      <c r="AB178" s="8">
        <v>5080.55</v>
      </c>
      <c r="AC178" s="8">
        <f t="shared" si="8"/>
        <v>-72.449999999999818</v>
      </c>
      <c r="AD178" s="8">
        <f t="shared" si="9"/>
        <v>-1.4059771007180248</v>
      </c>
      <c r="AF178" s="13">
        <v>44122</v>
      </c>
      <c r="AG178" s="8">
        <v>2066.4499999999998</v>
      </c>
      <c r="AH178" s="8">
        <f t="shared" si="10"/>
        <v>11.899999999999636</v>
      </c>
      <c r="AI178" s="8">
        <f t="shared" si="11"/>
        <v>0.57920225840206541</v>
      </c>
      <c r="AK178" s="13">
        <v>44122</v>
      </c>
      <c r="AL178" s="8">
        <v>447.9</v>
      </c>
      <c r="AM178" s="8">
        <f t="shared" si="12"/>
        <v>-4</v>
      </c>
      <c r="AN178" s="8">
        <f t="shared" si="13"/>
        <v>-0.88515158220845325</v>
      </c>
    </row>
    <row r="179" spans="2:40" x14ac:dyDescent="0.35">
      <c r="B179" s="13">
        <v>44115</v>
      </c>
      <c r="C179" s="8">
        <v>512.9</v>
      </c>
      <c r="D179" s="8">
        <f t="shared" si="0"/>
        <v>6</v>
      </c>
      <c r="E179" s="8">
        <f t="shared" si="1"/>
        <v>1.1836654172420595</v>
      </c>
      <c r="G179" s="16">
        <v>44115</v>
      </c>
      <c r="H179" s="14">
        <v>3190</v>
      </c>
      <c r="I179" s="8">
        <v>125.1</v>
      </c>
      <c r="J179" s="8">
        <v>4.0816992399999998</v>
      </c>
      <c r="L179" s="13">
        <v>44115</v>
      </c>
      <c r="M179" s="8">
        <v>1557.8</v>
      </c>
      <c r="N179" s="8">
        <f t="shared" si="2"/>
        <v>-11.25</v>
      </c>
      <c r="O179" s="8">
        <f t="shared" si="3"/>
        <v>-0.71699435964437086</v>
      </c>
      <c r="Q179" s="13">
        <v>44115</v>
      </c>
      <c r="R179" s="8">
        <v>16036.05</v>
      </c>
      <c r="S179" s="8">
        <f t="shared" si="16"/>
        <v>-348.85000000000218</v>
      </c>
      <c r="T179" s="8">
        <f t="shared" si="17"/>
        <v>-2.1290944711289184</v>
      </c>
      <c r="V179" s="13">
        <v>44115</v>
      </c>
      <c r="W179" s="8">
        <v>803.15</v>
      </c>
      <c r="X179" s="8">
        <f t="shared" si="6"/>
        <v>30.149999999999977</v>
      </c>
      <c r="Y179" s="8">
        <f t="shared" si="7"/>
        <v>3.9003880983182375</v>
      </c>
      <c r="AA179" s="13">
        <v>44115</v>
      </c>
      <c r="AB179" s="8">
        <v>5153</v>
      </c>
      <c r="AC179" s="8">
        <f t="shared" si="8"/>
        <v>40.949999999999818</v>
      </c>
      <c r="AD179" s="8">
        <f t="shared" si="9"/>
        <v>0.80104850304671937</v>
      </c>
      <c r="AF179" s="13">
        <v>44115</v>
      </c>
      <c r="AG179" s="8">
        <v>2054.5500000000002</v>
      </c>
      <c r="AH179" s="8">
        <f t="shared" si="10"/>
        <v>191.85000000000014</v>
      </c>
      <c r="AI179" s="8">
        <f t="shared" si="11"/>
        <v>10.299565147366733</v>
      </c>
      <c r="AK179" s="13">
        <v>44115</v>
      </c>
      <c r="AL179" s="8">
        <v>451.9</v>
      </c>
      <c r="AM179" s="8">
        <f t="shared" si="12"/>
        <v>-0.75</v>
      </c>
      <c r="AN179" s="8">
        <f t="shared" si="13"/>
        <v>-0.16569093118303327</v>
      </c>
    </row>
    <row r="180" spans="2:40" x14ac:dyDescent="0.35">
      <c r="B180" s="13">
        <v>44108</v>
      </c>
      <c r="C180" s="8">
        <v>506.9</v>
      </c>
      <c r="D180" s="8">
        <f t="shared" si="0"/>
        <v>17.25</v>
      </c>
      <c r="E180" s="8">
        <f t="shared" si="1"/>
        <v>3.5229245379352601</v>
      </c>
      <c r="G180" s="16">
        <v>44108</v>
      </c>
      <c r="H180" s="14">
        <v>3064.9</v>
      </c>
      <c r="I180" s="8">
        <v>4.1500000000000004</v>
      </c>
      <c r="J180" s="8">
        <v>0.1355876828</v>
      </c>
      <c r="L180" s="13">
        <v>44108</v>
      </c>
      <c r="M180" s="8">
        <v>1569.05</v>
      </c>
      <c r="N180" s="8">
        <f t="shared" si="2"/>
        <v>25.450000000000045</v>
      </c>
      <c r="O180" s="8">
        <f t="shared" si="3"/>
        <v>1.6487431977196194</v>
      </c>
      <c r="Q180" s="13">
        <v>44108</v>
      </c>
      <c r="R180" s="8">
        <v>16384.900000000001</v>
      </c>
      <c r="S180" s="8">
        <f t="shared" si="16"/>
        <v>147.15000000000146</v>
      </c>
      <c r="T180" s="8">
        <f t="shared" si="17"/>
        <v>0.90622161321612571</v>
      </c>
      <c r="V180" s="13">
        <v>44108</v>
      </c>
      <c r="W180" s="8">
        <v>773</v>
      </c>
      <c r="X180" s="8">
        <f t="shared" si="6"/>
        <v>2.8999999999999773</v>
      </c>
      <c r="Y180" s="8">
        <f t="shared" si="7"/>
        <v>0.37657447084793888</v>
      </c>
      <c r="AA180" s="13">
        <v>44108</v>
      </c>
      <c r="AB180" s="8">
        <v>5112.05</v>
      </c>
      <c r="AC180" s="8">
        <f t="shared" si="8"/>
        <v>-0.1499999999996362</v>
      </c>
      <c r="AD180" s="8">
        <f t="shared" si="9"/>
        <v>-2.9341575055677831E-3</v>
      </c>
      <c r="AF180" s="13">
        <v>44108</v>
      </c>
      <c r="AG180" s="8">
        <v>1862.7</v>
      </c>
      <c r="AH180" s="8">
        <f t="shared" si="10"/>
        <v>33.900000000000091</v>
      </c>
      <c r="AI180" s="8">
        <f t="shared" si="11"/>
        <v>1.8536745406824198</v>
      </c>
      <c r="AK180" s="13">
        <v>44108</v>
      </c>
      <c r="AL180" s="8">
        <v>452.65</v>
      </c>
      <c r="AM180" s="8">
        <f t="shared" si="12"/>
        <v>24.649999999999977</v>
      </c>
      <c r="AN180" s="8">
        <f t="shared" si="13"/>
        <v>5.7593457943925177</v>
      </c>
    </row>
    <row r="181" spans="2:40" x14ac:dyDescent="0.35">
      <c r="B181" s="13">
        <v>44101</v>
      </c>
      <c r="C181" s="8">
        <v>489.65</v>
      </c>
      <c r="D181" s="8">
        <f t="shared" si="0"/>
        <v>-33.700000000000045</v>
      </c>
      <c r="E181" s="8">
        <f t="shared" si="1"/>
        <v>-6.4392853730772988</v>
      </c>
      <c r="G181" s="16">
        <v>44101</v>
      </c>
      <c r="H181" s="14">
        <v>3060.75</v>
      </c>
      <c r="I181" s="8">
        <v>-283.64999999999998</v>
      </c>
      <c r="J181" s="8">
        <v>-8.4813419450000005</v>
      </c>
      <c r="L181" s="13">
        <v>44101</v>
      </c>
      <c r="M181" s="8">
        <v>1543.6</v>
      </c>
      <c r="N181" s="8">
        <f t="shared" si="2"/>
        <v>-154.30000000000018</v>
      </c>
      <c r="O181" s="8">
        <f t="shared" si="3"/>
        <v>-9.0876965663466738</v>
      </c>
      <c r="Q181" s="13">
        <v>44101</v>
      </c>
      <c r="R181" s="8">
        <v>16237.75</v>
      </c>
      <c r="S181" s="8">
        <f t="shared" si="16"/>
        <v>-268.40000000000146</v>
      </c>
      <c r="T181" s="8">
        <f t="shared" si="17"/>
        <v>-1.6260605895378475</v>
      </c>
      <c r="V181" s="13">
        <v>44101</v>
      </c>
      <c r="W181" s="8">
        <v>770.1</v>
      </c>
      <c r="X181" s="8">
        <f t="shared" si="6"/>
        <v>-36.149999999999977</v>
      </c>
      <c r="Y181" s="8">
        <f t="shared" si="7"/>
        <v>-4.4837209302325549</v>
      </c>
      <c r="AA181" s="13">
        <v>44101</v>
      </c>
      <c r="AB181" s="8">
        <v>5112.2</v>
      </c>
      <c r="AC181" s="8">
        <f t="shared" si="8"/>
        <v>-221.15000000000055</v>
      </c>
      <c r="AD181" s="8">
        <f t="shared" si="9"/>
        <v>-4.146549542032691</v>
      </c>
      <c r="AF181" s="13">
        <v>44101</v>
      </c>
      <c r="AG181" s="8">
        <v>1828.8</v>
      </c>
      <c r="AH181" s="8">
        <f t="shared" si="10"/>
        <v>-157.35000000000014</v>
      </c>
      <c r="AI181" s="8">
        <f t="shared" si="11"/>
        <v>-7.9223623593384254</v>
      </c>
      <c r="AK181" s="13">
        <v>44101</v>
      </c>
      <c r="AL181" s="8">
        <v>428</v>
      </c>
      <c r="AM181" s="8">
        <f t="shared" si="12"/>
        <v>-26</v>
      </c>
      <c r="AN181" s="8">
        <f t="shared" si="13"/>
        <v>-5.7268722466960353</v>
      </c>
    </row>
    <row r="182" spans="2:40" x14ac:dyDescent="0.35">
      <c r="B182" s="13">
        <v>44094</v>
      </c>
      <c r="C182" s="8">
        <v>523.35</v>
      </c>
      <c r="D182" s="8">
        <f t="shared" si="0"/>
        <v>17.800000000000011</v>
      </c>
      <c r="E182" s="8">
        <f t="shared" si="1"/>
        <v>3.5209178122836535</v>
      </c>
      <c r="G182" s="16">
        <v>44094</v>
      </c>
      <c r="H182" s="14">
        <v>3344.4</v>
      </c>
      <c r="I182" s="8">
        <v>197.75</v>
      </c>
      <c r="J182" s="8">
        <v>6.2844612519999998</v>
      </c>
      <c r="L182" s="13">
        <v>44094</v>
      </c>
      <c r="M182" s="8">
        <v>1697.9</v>
      </c>
      <c r="N182" s="8">
        <f t="shared" si="2"/>
        <v>22.950000000000045</v>
      </c>
      <c r="O182" s="8">
        <f t="shared" si="3"/>
        <v>1.3701901549300006</v>
      </c>
      <c r="Q182" s="13">
        <v>44094</v>
      </c>
      <c r="R182" s="8">
        <v>16506.150000000001</v>
      </c>
      <c r="S182" s="8">
        <f t="shared" si="16"/>
        <v>-313.09999999999854</v>
      </c>
      <c r="T182" s="8">
        <f t="shared" si="17"/>
        <v>-1.8615574416219425</v>
      </c>
      <c r="V182" s="13">
        <v>44094</v>
      </c>
      <c r="W182" s="8">
        <v>806.25</v>
      </c>
      <c r="X182" s="8">
        <f t="shared" si="6"/>
        <v>80.299999999999955</v>
      </c>
      <c r="Y182" s="8">
        <f t="shared" si="7"/>
        <v>11.061367862800461</v>
      </c>
      <c r="AA182" s="13">
        <v>44094</v>
      </c>
      <c r="AB182" s="8">
        <v>5333.35</v>
      </c>
      <c r="AC182" s="8">
        <f t="shared" si="8"/>
        <v>931.75</v>
      </c>
      <c r="AD182" s="8">
        <f t="shared" si="9"/>
        <v>21.168438749545619</v>
      </c>
      <c r="AF182" s="13">
        <v>44094</v>
      </c>
      <c r="AG182" s="8">
        <v>1986.15</v>
      </c>
      <c r="AH182" s="8">
        <f t="shared" si="10"/>
        <v>147.10000000000014</v>
      </c>
      <c r="AI182" s="8">
        <f t="shared" si="11"/>
        <v>7.9986949783855872</v>
      </c>
      <c r="AK182" s="13">
        <v>44094</v>
      </c>
      <c r="AL182" s="8">
        <v>454</v>
      </c>
      <c r="AM182" s="8">
        <f t="shared" si="12"/>
        <v>20.899999999999977</v>
      </c>
      <c r="AN182" s="8">
        <f t="shared" si="13"/>
        <v>4.8256753636573482</v>
      </c>
    </row>
    <row r="183" spans="2:40" x14ac:dyDescent="0.35">
      <c r="B183" s="13">
        <v>44087</v>
      </c>
      <c r="C183" s="8">
        <v>505.55</v>
      </c>
      <c r="D183" s="8">
        <f t="shared" si="0"/>
        <v>-6.9000000000000341</v>
      </c>
      <c r="E183" s="8">
        <f t="shared" si="1"/>
        <v>-1.3464728266172374</v>
      </c>
      <c r="G183" s="16">
        <v>44087</v>
      </c>
      <c r="H183" s="14">
        <v>3146.65</v>
      </c>
      <c r="I183" s="8">
        <v>-76.5</v>
      </c>
      <c r="J183" s="8">
        <v>-2.37345454</v>
      </c>
      <c r="L183" s="13">
        <v>44087</v>
      </c>
      <c r="M183" s="8">
        <v>1674.95</v>
      </c>
      <c r="N183" s="8">
        <f t="shared" si="2"/>
        <v>100.29999999999995</v>
      </c>
      <c r="O183" s="8">
        <f t="shared" si="3"/>
        <v>6.3696694503540439</v>
      </c>
      <c r="Q183" s="13">
        <v>44087</v>
      </c>
      <c r="R183" s="8">
        <v>16819.25</v>
      </c>
      <c r="S183" s="8">
        <f t="shared" si="16"/>
        <v>277.29999999999927</v>
      </c>
      <c r="T183" s="8">
        <f t="shared" si="17"/>
        <v>1.6763440827713738</v>
      </c>
      <c r="V183" s="13">
        <v>44087</v>
      </c>
      <c r="W183" s="8">
        <v>725.95</v>
      </c>
      <c r="X183" s="8">
        <f t="shared" si="6"/>
        <v>1.3500000000000227</v>
      </c>
      <c r="Y183" s="8">
        <f t="shared" si="7"/>
        <v>0.18630968810378454</v>
      </c>
      <c r="AA183" s="13">
        <v>44087</v>
      </c>
      <c r="AB183" s="8">
        <v>4401.6000000000004</v>
      </c>
      <c r="AC183" s="8">
        <f t="shared" si="8"/>
        <v>79.100000000000364</v>
      </c>
      <c r="AD183" s="8">
        <f t="shared" si="9"/>
        <v>1.8299595141700489</v>
      </c>
      <c r="AF183" s="13">
        <v>44087</v>
      </c>
      <c r="AG183" s="8">
        <v>1839.05</v>
      </c>
      <c r="AH183" s="8">
        <f t="shared" si="10"/>
        <v>-6.5</v>
      </c>
      <c r="AI183" s="8">
        <f t="shared" si="11"/>
        <v>-0.35219853160304515</v>
      </c>
      <c r="AK183" s="13">
        <v>44087</v>
      </c>
      <c r="AL183" s="8">
        <v>433.1</v>
      </c>
      <c r="AM183" s="8">
        <f t="shared" si="12"/>
        <v>12.150000000000034</v>
      </c>
      <c r="AN183" s="8">
        <f t="shared" si="13"/>
        <v>2.8863285425822625</v>
      </c>
    </row>
    <row r="184" spans="2:40" x14ac:dyDescent="0.35">
      <c r="B184" s="13">
        <v>44080</v>
      </c>
      <c r="C184" s="8">
        <v>512.45000000000005</v>
      </c>
      <c r="D184" s="8">
        <f t="shared" si="0"/>
        <v>-43.299999999999955</v>
      </c>
      <c r="E184" s="8">
        <f t="shared" si="1"/>
        <v>-7.791273054430941</v>
      </c>
      <c r="G184" s="16">
        <v>44080</v>
      </c>
      <c r="H184" s="14">
        <v>3223.15</v>
      </c>
      <c r="I184" s="8">
        <v>-49.7</v>
      </c>
      <c r="J184" s="8">
        <v>-1.5185541650000001</v>
      </c>
      <c r="L184" s="13">
        <v>44080</v>
      </c>
      <c r="M184" s="8">
        <v>1574.65</v>
      </c>
      <c r="N184" s="8">
        <f t="shared" si="2"/>
        <v>-8.5</v>
      </c>
      <c r="O184" s="8">
        <f t="shared" si="3"/>
        <v>-0.53690427312636202</v>
      </c>
      <c r="Q184" s="13">
        <v>44080</v>
      </c>
      <c r="R184" s="8">
        <v>16541.95</v>
      </c>
      <c r="S184" s="8">
        <f t="shared" si="16"/>
        <v>-274.09999999999854</v>
      </c>
      <c r="T184" s="8">
        <f t="shared" si="17"/>
        <v>-1.6299903960799269</v>
      </c>
      <c r="V184" s="13">
        <v>44080</v>
      </c>
      <c r="W184" s="8">
        <v>724.6</v>
      </c>
      <c r="X184" s="8">
        <f t="shared" si="6"/>
        <v>-24</v>
      </c>
      <c r="Y184" s="8">
        <f t="shared" si="7"/>
        <v>-3.2059845044082285</v>
      </c>
      <c r="AA184" s="13">
        <v>44080</v>
      </c>
      <c r="AB184" s="8">
        <v>4322.5</v>
      </c>
      <c r="AC184" s="8">
        <f t="shared" si="8"/>
        <v>-51.800000000000182</v>
      </c>
      <c r="AD184" s="8">
        <f t="shared" si="9"/>
        <v>-1.1841894703152545</v>
      </c>
      <c r="AF184" s="13">
        <v>44080</v>
      </c>
      <c r="AG184" s="8">
        <v>1845.55</v>
      </c>
      <c r="AH184" s="8">
        <f t="shared" si="10"/>
        <v>4.8999999999998636</v>
      </c>
      <c r="AI184" s="8">
        <f t="shared" si="11"/>
        <v>0.26621030614184465</v>
      </c>
      <c r="AK184" s="13">
        <v>44080</v>
      </c>
      <c r="AL184" s="8">
        <v>420.95</v>
      </c>
      <c r="AM184" s="8">
        <f t="shared" si="12"/>
        <v>29.399999999999977</v>
      </c>
      <c r="AN184" s="8">
        <f t="shared" si="13"/>
        <v>7.5086195888136835</v>
      </c>
    </row>
    <row r="185" spans="2:40" x14ac:dyDescent="0.35">
      <c r="B185" s="13">
        <v>44073</v>
      </c>
      <c r="C185" s="8">
        <v>555.75</v>
      </c>
      <c r="D185" s="8">
        <f t="shared" si="0"/>
        <v>23.399999999999977</v>
      </c>
      <c r="E185" s="8">
        <f t="shared" si="1"/>
        <v>4.3956043956043915</v>
      </c>
      <c r="G185" s="16">
        <v>44073</v>
      </c>
      <c r="H185" s="14">
        <v>3272.85</v>
      </c>
      <c r="I185" s="8">
        <v>25.5</v>
      </c>
      <c r="J185" s="8">
        <v>0.78525566999999996</v>
      </c>
      <c r="L185" s="13">
        <v>44073</v>
      </c>
      <c r="M185" s="8">
        <v>1583.15</v>
      </c>
      <c r="N185" s="8">
        <f t="shared" si="2"/>
        <v>97.600000000000136</v>
      </c>
      <c r="O185" s="8">
        <f t="shared" si="3"/>
        <v>6.5699572548887719</v>
      </c>
      <c r="Q185" s="13">
        <v>44073</v>
      </c>
      <c r="R185" s="8">
        <v>16816.05</v>
      </c>
      <c r="S185" s="8">
        <f t="shared" si="16"/>
        <v>-24.200000000000728</v>
      </c>
      <c r="T185" s="8">
        <f t="shared" si="17"/>
        <v>-0.14370332981992981</v>
      </c>
      <c r="V185" s="13">
        <v>44073</v>
      </c>
      <c r="W185" s="8">
        <v>748.6</v>
      </c>
      <c r="X185" s="8">
        <f t="shared" si="6"/>
        <v>-12.149999999999977</v>
      </c>
      <c r="Y185" s="8">
        <f t="shared" si="7"/>
        <v>-1.5971081169898096</v>
      </c>
      <c r="AA185" s="13">
        <v>44073</v>
      </c>
      <c r="AB185" s="8">
        <v>4374.3</v>
      </c>
      <c r="AC185" s="8">
        <f t="shared" si="8"/>
        <v>-115.44999999999982</v>
      </c>
      <c r="AD185" s="8">
        <f t="shared" si="9"/>
        <v>-2.57141266217495</v>
      </c>
      <c r="AF185" s="13">
        <v>44073</v>
      </c>
      <c r="AG185" s="8">
        <v>1840.65</v>
      </c>
      <c r="AH185" s="8">
        <f t="shared" si="10"/>
        <v>-4.0999999999999091</v>
      </c>
      <c r="AI185" s="8">
        <f t="shared" si="11"/>
        <v>-0.22225233771513261</v>
      </c>
      <c r="AK185" s="13">
        <v>44073</v>
      </c>
      <c r="AL185" s="8">
        <v>391.55</v>
      </c>
      <c r="AM185" s="8">
        <f t="shared" si="12"/>
        <v>-2.5</v>
      </c>
      <c r="AN185" s="8">
        <f t="shared" si="13"/>
        <v>-0.63443725415556396</v>
      </c>
    </row>
    <row r="186" spans="2:40" x14ac:dyDescent="0.35">
      <c r="B186" s="13">
        <v>44066</v>
      </c>
      <c r="C186" s="8">
        <v>532.35</v>
      </c>
      <c r="D186" s="8">
        <f t="shared" si="0"/>
        <v>1</v>
      </c>
      <c r="E186" s="8">
        <f t="shared" si="1"/>
        <v>0.18819986826009222</v>
      </c>
      <c r="G186" s="16">
        <v>44066</v>
      </c>
      <c r="H186" s="14">
        <v>3247.35</v>
      </c>
      <c r="I186" s="8">
        <v>157.55000000000001</v>
      </c>
      <c r="J186" s="8">
        <v>5.0990355359999997</v>
      </c>
      <c r="L186" s="13">
        <v>44066</v>
      </c>
      <c r="M186" s="8">
        <v>1485.55</v>
      </c>
      <c r="N186" s="8">
        <f t="shared" si="2"/>
        <v>-32.549999999999955</v>
      </c>
      <c r="O186" s="8">
        <f t="shared" si="3"/>
        <v>-2.1441275278308383</v>
      </c>
      <c r="Q186" s="13">
        <v>44066</v>
      </c>
      <c r="R186" s="8">
        <v>16840.25</v>
      </c>
      <c r="S186" s="8">
        <f t="shared" si="16"/>
        <v>371.34999999999854</v>
      </c>
      <c r="T186" s="8">
        <f t="shared" si="17"/>
        <v>2.2548561227525732</v>
      </c>
      <c r="V186" s="13">
        <v>44066</v>
      </c>
      <c r="W186" s="8">
        <v>760.75</v>
      </c>
      <c r="X186" s="8">
        <f t="shared" si="6"/>
        <v>-11.049999999999955</v>
      </c>
      <c r="Y186" s="8">
        <f t="shared" si="7"/>
        <v>-1.4317180616740031</v>
      </c>
      <c r="AA186" s="13">
        <v>44066</v>
      </c>
      <c r="AB186" s="8">
        <v>4489.75</v>
      </c>
      <c r="AC186" s="8">
        <f t="shared" si="8"/>
        <v>-29.649999999999636</v>
      </c>
      <c r="AD186" s="8">
        <f t="shared" si="9"/>
        <v>-0.65606053900959505</v>
      </c>
      <c r="AF186" s="13">
        <v>44066</v>
      </c>
      <c r="AG186" s="8">
        <v>1844.75</v>
      </c>
      <c r="AH186" s="8">
        <f t="shared" si="10"/>
        <v>-18.099999999999909</v>
      </c>
      <c r="AI186" s="8">
        <f t="shared" si="11"/>
        <v>-0.97162949244436803</v>
      </c>
      <c r="AK186" s="13">
        <v>44066</v>
      </c>
      <c r="AL186" s="8">
        <v>394.05</v>
      </c>
      <c r="AM186" s="8">
        <f t="shared" si="12"/>
        <v>-1.0500000000000114</v>
      </c>
      <c r="AN186" s="8">
        <f t="shared" si="13"/>
        <v>-0.26575550493546224</v>
      </c>
    </row>
    <row r="187" spans="2:40" x14ac:dyDescent="0.35">
      <c r="B187" s="13">
        <v>44059</v>
      </c>
      <c r="C187" s="8">
        <v>531.35</v>
      </c>
      <c r="D187" s="8">
        <f t="shared" si="0"/>
        <v>5.3999999999999773</v>
      </c>
      <c r="E187" s="8">
        <f t="shared" si="1"/>
        <v>1.0267135659283158</v>
      </c>
      <c r="G187" s="16">
        <v>44059</v>
      </c>
      <c r="H187" s="14">
        <v>3089.8</v>
      </c>
      <c r="I187" s="8">
        <v>304.95</v>
      </c>
      <c r="J187" s="8">
        <v>10.95032048</v>
      </c>
      <c r="L187" s="13">
        <v>44059</v>
      </c>
      <c r="M187" s="8">
        <v>1518.1</v>
      </c>
      <c r="N187" s="8">
        <f t="shared" si="2"/>
        <v>29.399999999999864</v>
      </c>
      <c r="O187" s="8">
        <f t="shared" si="3"/>
        <v>1.9748774098206396</v>
      </c>
      <c r="Q187" s="13">
        <v>44059</v>
      </c>
      <c r="R187" s="8">
        <v>16468.900000000001</v>
      </c>
      <c r="S187" s="8">
        <f t="shared" si="16"/>
        <v>269.90000000000146</v>
      </c>
      <c r="T187" s="8">
        <f t="shared" si="17"/>
        <v>1.6661522316192448</v>
      </c>
      <c r="V187" s="13">
        <v>44059</v>
      </c>
      <c r="W187" s="8">
        <v>771.8</v>
      </c>
      <c r="X187" s="8">
        <f t="shared" si="6"/>
        <v>43.149999999999977</v>
      </c>
      <c r="Y187" s="8">
        <f t="shared" si="7"/>
        <v>5.9219103822136807</v>
      </c>
      <c r="AA187" s="13">
        <v>44059</v>
      </c>
      <c r="AB187" s="8">
        <v>4519.3999999999996</v>
      </c>
      <c r="AC187" s="8">
        <f t="shared" si="8"/>
        <v>-54.100000000000364</v>
      </c>
      <c r="AD187" s="8">
        <f t="shared" si="9"/>
        <v>-1.1829014977588359</v>
      </c>
      <c r="AF187" s="13">
        <v>44059</v>
      </c>
      <c r="AG187" s="8">
        <v>1862.85</v>
      </c>
      <c r="AH187" s="8">
        <f t="shared" si="10"/>
        <v>-40.100000000000136</v>
      </c>
      <c r="AI187" s="8">
        <f t="shared" si="11"/>
        <v>-2.1072545258677389</v>
      </c>
      <c r="AK187" s="13">
        <v>44059</v>
      </c>
      <c r="AL187" s="8">
        <v>395.1</v>
      </c>
      <c r="AM187" s="8">
        <f t="shared" si="12"/>
        <v>-4.3499999999999659</v>
      </c>
      <c r="AN187" s="8">
        <f t="shared" si="13"/>
        <v>-1.0889973713856467</v>
      </c>
    </row>
    <row r="188" spans="2:40" x14ac:dyDescent="0.35">
      <c r="B188" s="13">
        <v>44052</v>
      </c>
      <c r="C188" s="8">
        <v>525.95000000000005</v>
      </c>
      <c r="D188" s="8">
        <f t="shared" si="0"/>
        <v>-5.75</v>
      </c>
      <c r="E188" s="8">
        <f t="shared" si="1"/>
        <v>-1.0814369005078051</v>
      </c>
      <c r="G188" s="16">
        <v>44052</v>
      </c>
      <c r="H188" s="14">
        <v>2784.85</v>
      </c>
      <c r="I188" s="8">
        <v>168.3</v>
      </c>
      <c r="J188" s="8">
        <v>6.4321339169999998</v>
      </c>
      <c r="L188" s="13">
        <v>44052</v>
      </c>
      <c r="M188" s="8">
        <v>1488.7</v>
      </c>
      <c r="N188" s="8">
        <f t="shared" si="2"/>
        <v>51.400000000000091</v>
      </c>
      <c r="O188" s="8">
        <f t="shared" si="3"/>
        <v>3.5761497251791616</v>
      </c>
      <c r="Q188" s="13">
        <v>44052</v>
      </c>
      <c r="R188" s="8">
        <v>16199</v>
      </c>
      <c r="S188" s="8">
        <f t="shared" si="16"/>
        <v>662.64999999999964</v>
      </c>
      <c r="T188" s="8">
        <f t="shared" si="17"/>
        <v>4.2651588049960232</v>
      </c>
      <c r="V188" s="13">
        <v>44052</v>
      </c>
      <c r="W188" s="8">
        <v>728.65</v>
      </c>
      <c r="X188" s="8">
        <f t="shared" si="6"/>
        <v>8.5</v>
      </c>
      <c r="Y188" s="8">
        <f t="shared" si="7"/>
        <v>1.1803096577101992</v>
      </c>
      <c r="AA188" s="13">
        <v>44052</v>
      </c>
      <c r="AB188" s="8">
        <v>4573.5</v>
      </c>
      <c r="AC188" s="8">
        <f t="shared" si="8"/>
        <v>52.449999999999818</v>
      </c>
      <c r="AD188" s="8">
        <f t="shared" si="9"/>
        <v>1.160128731157581</v>
      </c>
      <c r="AF188" s="13">
        <v>44052</v>
      </c>
      <c r="AG188" s="8">
        <v>1902.95</v>
      </c>
      <c r="AH188" s="8">
        <f t="shared" si="10"/>
        <v>11.25</v>
      </c>
      <c r="AI188" s="8">
        <f t="shared" si="11"/>
        <v>0.59470317703652797</v>
      </c>
      <c r="AK188" s="13">
        <v>44052</v>
      </c>
      <c r="AL188" s="8">
        <v>399.45</v>
      </c>
      <c r="AM188" s="8">
        <f t="shared" si="12"/>
        <v>-10.150000000000034</v>
      </c>
      <c r="AN188" s="8">
        <f t="shared" si="13"/>
        <v>-2.478027343750008</v>
      </c>
    </row>
    <row r="189" spans="2:40" x14ac:dyDescent="0.35">
      <c r="B189" s="13">
        <v>44045</v>
      </c>
      <c r="C189" s="8">
        <v>531.70000000000005</v>
      </c>
      <c r="D189" s="8">
        <f t="shared" si="0"/>
        <v>46.100000000000023</v>
      </c>
      <c r="E189" s="8">
        <f t="shared" si="1"/>
        <v>9.4934102141680423</v>
      </c>
      <c r="G189" s="16">
        <v>44045</v>
      </c>
      <c r="H189" s="14">
        <v>2616.5500000000002</v>
      </c>
      <c r="I189" s="8">
        <v>267.45</v>
      </c>
      <c r="J189" s="8">
        <v>11.38521136</v>
      </c>
      <c r="L189" s="13">
        <v>44045</v>
      </c>
      <c r="M189" s="8">
        <v>1437.3</v>
      </c>
      <c r="N189" s="8">
        <f t="shared" si="2"/>
        <v>-38.799999999999955</v>
      </c>
      <c r="O189" s="8">
        <f t="shared" si="3"/>
        <v>-2.6285482013413697</v>
      </c>
      <c r="Q189" s="13">
        <v>44045</v>
      </c>
      <c r="R189" s="8">
        <v>15536.35</v>
      </c>
      <c r="S189" s="8">
        <f t="shared" si="16"/>
        <v>399.70000000000073</v>
      </c>
      <c r="T189" s="8">
        <f t="shared" si="17"/>
        <v>2.6406107031608759</v>
      </c>
      <c r="V189" s="13">
        <v>44045</v>
      </c>
      <c r="W189" s="8">
        <v>720.15</v>
      </c>
      <c r="X189" s="8">
        <f t="shared" si="6"/>
        <v>54.100000000000023</v>
      </c>
      <c r="Y189" s="8">
        <f t="shared" si="7"/>
        <v>8.1225133248254675</v>
      </c>
      <c r="AA189" s="13">
        <v>44045</v>
      </c>
      <c r="AB189" s="8">
        <v>4521.05</v>
      </c>
      <c r="AC189" s="8">
        <f t="shared" si="8"/>
        <v>455.10000000000036</v>
      </c>
      <c r="AD189" s="8">
        <f t="shared" si="9"/>
        <v>11.19295613571245</v>
      </c>
      <c r="AF189" s="13">
        <v>44045</v>
      </c>
      <c r="AG189" s="8">
        <v>1891.7</v>
      </c>
      <c r="AH189" s="8">
        <f t="shared" si="10"/>
        <v>-33.950000000000045</v>
      </c>
      <c r="AI189" s="8">
        <f t="shared" si="11"/>
        <v>-1.7630410510736658</v>
      </c>
      <c r="AK189" s="13">
        <v>44045</v>
      </c>
      <c r="AL189" s="8">
        <v>409.6</v>
      </c>
      <c r="AM189" s="8">
        <f t="shared" si="12"/>
        <v>-5.5499999999999545</v>
      </c>
      <c r="AN189" s="8">
        <f t="shared" si="13"/>
        <v>-1.3368661929422991</v>
      </c>
    </row>
    <row r="190" spans="2:40" x14ac:dyDescent="0.35">
      <c r="B190" s="13">
        <v>44038</v>
      </c>
      <c r="C190" s="8">
        <v>485.6</v>
      </c>
      <c r="D190" s="8">
        <f t="shared" si="0"/>
        <v>-18</v>
      </c>
      <c r="E190" s="8">
        <f t="shared" si="1"/>
        <v>-3.574265289912629</v>
      </c>
      <c r="G190" s="16">
        <v>44038</v>
      </c>
      <c r="H190" s="14">
        <v>2349.1</v>
      </c>
      <c r="I190" s="8">
        <v>85.7</v>
      </c>
      <c r="J190" s="8">
        <v>3.786339136</v>
      </c>
      <c r="L190" s="13">
        <v>44038</v>
      </c>
      <c r="M190" s="8">
        <v>1476.1</v>
      </c>
      <c r="N190" s="8">
        <f t="shared" si="2"/>
        <v>-43.100000000000136</v>
      </c>
      <c r="O190" s="8">
        <f t="shared" si="3"/>
        <v>-2.8370194839389242</v>
      </c>
      <c r="Q190" s="13">
        <v>44038</v>
      </c>
      <c r="R190" s="8">
        <v>15136.65</v>
      </c>
      <c r="S190" s="8">
        <f t="shared" si="16"/>
        <v>-126.10000000000036</v>
      </c>
      <c r="T190" s="8">
        <f t="shared" si="17"/>
        <v>-0.82619449312869808</v>
      </c>
      <c r="V190" s="13">
        <v>44038</v>
      </c>
      <c r="W190" s="8">
        <v>666.05</v>
      </c>
      <c r="X190" s="8">
        <f t="shared" si="6"/>
        <v>-23.050000000000068</v>
      </c>
      <c r="Y190" s="8">
        <f t="shared" si="7"/>
        <v>-3.3449426788564893</v>
      </c>
      <c r="AA190" s="13">
        <v>44038</v>
      </c>
      <c r="AB190" s="8">
        <v>4065.95</v>
      </c>
      <c r="AC190" s="8">
        <f t="shared" si="8"/>
        <v>-52.800000000000182</v>
      </c>
      <c r="AD190" s="8">
        <f t="shared" si="9"/>
        <v>-1.2819423368740559</v>
      </c>
      <c r="AF190" s="13">
        <v>44038</v>
      </c>
      <c r="AG190" s="8">
        <v>1925.65</v>
      </c>
      <c r="AH190" s="8">
        <f t="shared" si="10"/>
        <v>72.450000000000045</v>
      </c>
      <c r="AI190" s="8">
        <f t="shared" si="11"/>
        <v>3.9094539175480274</v>
      </c>
      <c r="AK190" s="13">
        <v>44038</v>
      </c>
      <c r="AL190" s="8">
        <v>415.15</v>
      </c>
      <c r="AM190" s="8">
        <f t="shared" si="12"/>
        <v>-16.450000000000045</v>
      </c>
      <c r="AN190" s="8">
        <f t="shared" si="13"/>
        <v>-3.8113994439295746</v>
      </c>
    </row>
    <row r="191" spans="2:40" x14ac:dyDescent="0.35">
      <c r="B191" s="13">
        <v>44031</v>
      </c>
      <c r="C191" s="8">
        <v>503.6</v>
      </c>
      <c r="D191" s="8">
        <f t="shared" si="0"/>
        <v>9.7000000000000455</v>
      </c>
      <c r="E191" s="8">
        <f t="shared" si="1"/>
        <v>1.9639603158534209</v>
      </c>
      <c r="G191" s="16">
        <v>44031</v>
      </c>
      <c r="H191" s="14">
        <v>2263.4</v>
      </c>
      <c r="I191" s="8">
        <v>60.3</v>
      </c>
      <c r="J191" s="8">
        <v>2.737052335</v>
      </c>
      <c r="L191" s="13">
        <v>44031</v>
      </c>
      <c r="M191" s="8">
        <v>1519.2</v>
      </c>
      <c r="N191" s="8">
        <f t="shared" si="2"/>
        <v>30.950000000000045</v>
      </c>
      <c r="O191" s="8">
        <f t="shared" si="3"/>
        <v>2.0796237191332132</v>
      </c>
      <c r="Q191" s="13">
        <v>44031</v>
      </c>
      <c r="R191" s="8">
        <v>15262.75</v>
      </c>
      <c r="S191" s="8">
        <f t="shared" si="16"/>
        <v>-249.85000000000036</v>
      </c>
      <c r="T191" s="8">
        <f t="shared" si="17"/>
        <v>-1.6106262006369039</v>
      </c>
      <c r="V191" s="13">
        <v>44031</v>
      </c>
      <c r="W191" s="8">
        <v>689.1</v>
      </c>
      <c r="X191" s="8">
        <f t="shared" si="6"/>
        <v>50.200000000000045</v>
      </c>
      <c r="Y191" s="8">
        <f t="shared" si="7"/>
        <v>7.857254656440765</v>
      </c>
      <c r="AA191" s="13">
        <v>44031</v>
      </c>
      <c r="AB191" s="8">
        <v>4118.75</v>
      </c>
      <c r="AC191" s="8">
        <f t="shared" si="8"/>
        <v>213.30000000000018</v>
      </c>
      <c r="AD191" s="8">
        <f t="shared" si="9"/>
        <v>5.4615985353800509</v>
      </c>
      <c r="AF191" s="13">
        <v>44031</v>
      </c>
      <c r="AG191" s="8">
        <v>1853.2</v>
      </c>
      <c r="AH191" s="8">
        <f t="shared" si="10"/>
        <v>70.950000000000045</v>
      </c>
      <c r="AI191" s="8">
        <f t="shared" si="11"/>
        <v>3.98092299060177</v>
      </c>
      <c r="AK191" s="13">
        <v>44031</v>
      </c>
      <c r="AL191" s="8">
        <v>431.6</v>
      </c>
      <c r="AM191" s="8">
        <f t="shared" si="12"/>
        <v>17.300000000000011</v>
      </c>
      <c r="AN191" s="8">
        <f t="shared" si="13"/>
        <v>4.1757180786869448</v>
      </c>
    </row>
    <row r="192" spans="2:40" x14ac:dyDescent="0.35">
      <c r="B192" s="13">
        <v>44024</v>
      </c>
      <c r="C192" s="8">
        <v>493.9</v>
      </c>
      <c r="D192" s="8">
        <f t="shared" si="0"/>
        <v>17.049999999999955</v>
      </c>
      <c r="E192" s="8">
        <f t="shared" si="1"/>
        <v>3.5755478662052957</v>
      </c>
      <c r="G192" s="16">
        <v>44024</v>
      </c>
      <c r="H192" s="14">
        <v>2203.1</v>
      </c>
      <c r="I192" s="8">
        <v>12.65</v>
      </c>
      <c r="J192" s="8">
        <v>0.57750690500000001</v>
      </c>
      <c r="L192" s="13">
        <v>44024</v>
      </c>
      <c r="M192" s="8">
        <v>1488.25</v>
      </c>
      <c r="N192" s="8">
        <f t="shared" si="2"/>
        <v>22.150000000000091</v>
      </c>
      <c r="O192" s="8">
        <f t="shared" si="3"/>
        <v>1.5108109951572262</v>
      </c>
      <c r="Q192" s="13">
        <v>44024</v>
      </c>
      <c r="R192" s="8">
        <v>15512.6</v>
      </c>
      <c r="S192" s="8">
        <f t="shared" si="16"/>
        <v>-144.85000000000036</v>
      </c>
      <c r="T192" s="8">
        <f t="shared" si="17"/>
        <v>-0.92511871345589702</v>
      </c>
      <c r="V192" s="13">
        <v>44024</v>
      </c>
      <c r="W192" s="8">
        <v>638.9</v>
      </c>
      <c r="X192" s="8">
        <f t="shared" si="6"/>
        <v>0.10000000000002274</v>
      </c>
      <c r="Y192" s="8">
        <f t="shared" si="7"/>
        <v>1.5654351909834493E-2</v>
      </c>
      <c r="AA192" s="13">
        <v>44024</v>
      </c>
      <c r="AB192" s="8">
        <v>3905.45</v>
      </c>
      <c r="AC192" s="8">
        <f t="shared" si="8"/>
        <v>-16</v>
      </c>
      <c r="AD192" s="8">
        <f t="shared" si="9"/>
        <v>-0.40801234237335682</v>
      </c>
      <c r="AF192" s="13">
        <v>44024</v>
      </c>
      <c r="AG192" s="8">
        <v>1782.25</v>
      </c>
      <c r="AH192" s="8">
        <f t="shared" si="10"/>
        <v>164.5</v>
      </c>
      <c r="AI192" s="8">
        <f t="shared" si="11"/>
        <v>10.168443826301962</v>
      </c>
      <c r="AK192" s="13">
        <v>44024</v>
      </c>
      <c r="AL192" s="8">
        <v>414.3</v>
      </c>
      <c r="AM192" s="8">
        <f t="shared" si="12"/>
        <v>18.699999999999989</v>
      </c>
      <c r="AN192" s="8">
        <f t="shared" si="13"/>
        <v>4.7269969666329592</v>
      </c>
    </row>
    <row r="193" spans="2:40" x14ac:dyDescent="0.35">
      <c r="B193" s="13">
        <v>44017</v>
      </c>
      <c r="C193" s="8">
        <v>476.85</v>
      </c>
      <c r="D193" s="8">
        <f t="shared" si="0"/>
        <v>-3.0999999999999659</v>
      </c>
      <c r="E193" s="8">
        <f t="shared" si="1"/>
        <v>-0.64590061464735204</v>
      </c>
      <c r="G193" s="16">
        <v>44017</v>
      </c>
      <c r="H193" s="14">
        <v>2190.4499999999998</v>
      </c>
      <c r="I193" s="8">
        <v>-160.30000000000001</v>
      </c>
      <c r="J193" s="8">
        <v>-6.8191002870000004</v>
      </c>
      <c r="L193" s="13">
        <v>44017</v>
      </c>
      <c r="M193" s="8">
        <v>1466.1</v>
      </c>
      <c r="N193" s="8">
        <f t="shared" si="2"/>
        <v>-15</v>
      </c>
      <c r="O193" s="8">
        <f t="shared" si="3"/>
        <v>-1.01276078590237</v>
      </c>
      <c r="Q193" s="13">
        <v>44017</v>
      </c>
      <c r="R193" s="8">
        <v>15657.45</v>
      </c>
      <c r="S193" s="8">
        <f t="shared" si="16"/>
        <v>-298.89999999999964</v>
      </c>
      <c r="T193" s="8">
        <f t="shared" si="17"/>
        <v>-1.8732354203812251</v>
      </c>
      <c r="V193" s="13">
        <v>44017</v>
      </c>
      <c r="W193" s="8">
        <v>638.79999999999995</v>
      </c>
      <c r="X193" s="8">
        <f t="shared" si="6"/>
        <v>3.8999999999999773</v>
      </c>
      <c r="Y193" s="8">
        <f t="shared" si="7"/>
        <v>0.61426996377381904</v>
      </c>
      <c r="AA193" s="13">
        <v>44017</v>
      </c>
      <c r="AB193" s="8">
        <v>3921.45</v>
      </c>
      <c r="AC193" s="8">
        <f t="shared" si="8"/>
        <v>-77.150000000000091</v>
      </c>
      <c r="AD193" s="8">
        <f t="shared" si="9"/>
        <v>-1.9294252988546015</v>
      </c>
      <c r="AF193" s="13">
        <v>44017</v>
      </c>
      <c r="AG193" s="8">
        <v>1617.75</v>
      </c>
      <c r="AH193" s="8">
        <f t="shared" si="10"/>
        <v>58.299999999999955</v>
      </c>
      <c r="AI193" s="8">
        <f t="shared" si="11"/>
        <v>3.7384975472121553</v>
      </c>
      <c r="AK193" s="13">
        <v>44017</v>
      </c>
      <c r="AL193" s="8">
        <v>395.6</v>
      </c>
      <c r="AM193" s="8">
        <f t="shared" si="12"/>
        <v>-6.1999999999999886</v>
      </c>
      <c r="AN193" s="8">
        <f t="shared" si="13"/>
        <v>-1.5430562468889966</v>
      </c>
    </row>
    <row r="194" spans="2:40" x14ac:dyDescent="0.35">
      <c r="B194" s="13">
        <v>44010</v>
      </c>
      <c r="C194" s="8">
        <v>479.95</v>
      </c>
      <c r="D194" s="8">
        <f t="shared" si="0"/>
        <v>-8.1500000000000341</v>
      </c>
      <c r="E194" s="8">
        <f t="shared" si="1"/>
        <v>-1.6697398074165199</v>
      </c>
      <c r="G194" s="16">
        <v>44010</v>
      </c>
      <c r="H194" s="14">
        <v>2350.75</v>
      </c>
      <c r="I194" s="8">
        <v>46</v>
      </c>
      <c r="J194" s="8">
        <v>1.9958780780000001</v>
      </c>
      <c r="L194" s="13">
        <v>44010</v>
      </c>
      <c r="M194" s="8">
        <v>1481.1</v>
      </c>
      <c r="N194" s="8">
        <f t="shared" si="2"/>
        <v>113.29999999999995</v>
      </c>
      <c r="O194" s="8">
        <f t="shared" si="3"/>
        <v>8.2833747623921603</v>
      </c>
      <c r="Q194" s="13">
        <v>44010</v>
      </c>
      <c r="R194" s="8">
        <v>15956.35</v>
      </c>
      <c r="S194" s="8">
        <f t="shared" si="16"/>
        <v>297.89999999999964</v>
      </c>
      <c r="T194" s="8">
        <f t="shared" si="17"/>
        <v>1.9024871554975085</v>
      </c>
      <c r="V194" s="13">
        <v>44010</v>
      </c>
      <c r="W194" s="8">
        <v>634.9</v>
      </c>
      <c r="X194" s="8">
        <f t="shared" si="6"/>
        <v>-1.3000000000000682</v>
      </c>
      <c r="Y194" s="8">
        <f t="shared" si="7"/>
        <v>-0.20433825840931596</v>
      </c>
      <c r="AA194" s="13">
        <v>44010</v>
      </c>
      <c r="AB194" s="8">
        <v>3998.6</v>
      </c>
      <c r="AC194" s="8">
        <f t="shared" si="8"/>
        <v>-7</v>
      </c>
      <c r="AD194" s="8">
        <f t="shared" si="9"/>
        <v>-0.17475534252047134</v>
      </c>
      <c r="AF194" s="13">
        <v>44010</v>
      </c>
      <c r="AG194" s="8">
        <v>1559.45</v>
      </c>
      <c r="AH194" s="8">
        <f t="shared" si="10"/>
        <v>31.5</v>
      </c>
      <c r="AI194" s="8">
        <f t="shared" si="11"/>
        <v>2.0615857848751595</v>
      </c>
      <c r="AK194" s="13">
        <v>44010</v>
      </c>
      <c r="AL194" s="8">
        <v>401.8</v>
      </c>
      <c r="AM194" s="8">
        <f t="shared" si="12"/>
        <v>20.550000000000011</v>
      </c>
      <c r="AN194" s="8">
        <f t="shared" si="13"/>
        <v>5.3901639344262318</v>
      </c>
    </row>
    <row r="195" spans="2:40" x14ac:dyDescent="0.35">
      <c r="B195" s="13">
        <v>44003</v>
      </c>
      <c r="C195" s="8">
        <v>488.1</v>
      </c>
      <c r="D195" s="8">
        <f t="shared" si="0"/>
        <v>8</v>
      </c>
      <c r="E195" s="8">
        <f t="shared" si="1"/>
        <v>1.6663195167673401</v>
      </c>
      <c r="G195" s="16">
        <v>44003</v>
      </c>
      <c r="H195" s="14">
        <v>2304.75</v>
      </c>
      <c r="I195" s="8">
        <v>-90.35</v>
      </c>
      <c r="J195" s="8">
        <v>-3.7722850819999998</v>
      </c>
      <c r="L195" s="13">
        <v>44003</v>
      </c>
      <c r="M195" s="8">
        <v>1367.8</v>
      </c>
      <c r="N195" s="8">
        <f t="shared" si="2"/>
        <v>-26.650000000000091</v>
      </c>
      <c r="O195" s="8">
        <f t="shared" si="3"/>
        <v>-1.9111477643515429</v>
      </c>
      <c r="Q195" s="13">
        <v>44003</v>
      </c>
      <c r="R195" s="8">
        <v>15658.45</v>
      </c>
      <c r="S195" s="8">
        <f t="shared" si="16"/>
        <v>-425.14999999999964</v>
      </c>
      <c r="T195" s="8">
        <f t="shared" si="17"/>
        <v>-2.6433758611256164</v>
      </c>
      <c r="V195" s="13">
        <v>44003</v>
      </c>
      <c r="W195" s="8">
        <v>636.20000000000005</v>
      </c>
      <c r="X195" s="8">
        <f t="shared" si="6"/>
        <v>-7.3999999999999773</v>
      </c>
      <c r="Y195" s="8">
        <f t="shared" si="7"/>
        <v>-1.1497824735860747</v>
      </c>
      <c r="AA195" s="13">
        <v>44003</v>
      </c>
      <c r="AB195" s="8">
        <v>4005.6</v>
      </c>
      <c r="AC195" s="8">
        <f t="shared" si="8"/>
        <v>-2.3499999999999091</v>
      </c>
      <c r="AD195" s="8">
        <f t="shared" si="9"/>
        <v>-5.8633465986349859E-2</v>
      </c>
      <c r="AF195" s="13">
        <v>44003</v>
      </c>
      <c r="AG195" s="8">
        <v>1527.95</v>
      </c>
      <c r="AH195" s="8">
        <f t="shared" si="10"/>
        <v>-88.899999999999864</v>
      </c>
      <c r="AI195" s="8">
        <f t="shared" si="11"/>
        <v>-5.4983455484429511</v>
      </c>
      <c r="AK195" s="13">
        <v>44003</v>
      </c>
      <c r="AL195" s="8">
        <v>381.25</v>
      </c>
      <c r="AM195" s="8">
        <f t="shared" si="12"/>
        <v>-3.5500000000000114</v>
      </c>
      <c r="AN195" s="8">
        <f t="shared" si="13"/>
        <v>-0.92255717255717551</v>
      </c>
    </row>
    <row r="196" spans="2:40" x14ac:dyDescent="0.35">
      <c r="B196" s="13">
        <v>43996</v>
      </c>
      <c r="C196" s="8">
        <v>480.1</v>
      </c>
      <c r="D196" s="8">
        <f t="shared" si="0"/>
        <v>-14.149999999999977</v>
      </c>
      <c r="E196" s="8">
        <f t="shared" si="1"/>
        <v>-2.8629236216489584</v>
      </c>
      <c r="G196" s="16">
        <v>43996</v>
      </c>
      <c r="H196" s="14">
        <v>2395.1</v>
      </c>
      <c r="I196" s="8">
        <v>-64.95</v>
      </c>
      <c r="J196" s="8">
        <v>-2.6401902399999999</v>
      </c>
      <c r="L196" s="13">
        <v>43996</v>
      </c>
      <c r="M196" s="8">
        <v>1394.45</v>
      </c>
      <c r="N196" s="8">
        <f t="shared" si="2"/>
        <v>12.150000000000091</v>
      </c>
      <c r="O196" s="8">
        <f t="shared" si="3"/>
        <v>0.87896983288722352</v>
      </c>
      <c r="Q196" s="13">
        <v>43996</v>
      </c>
      <c r="R196" s="8">
        <v>16083.6</v>
      </c>
      <c r="S196" s="8">
        <f t="shared" si="16"/>
        <v>-1079.9499999999989</v>
      </c>
      <c r="T196" s="8">
        <f t="shared" si="17"/>
        <v>-6.2921132283239709</v>
      </c>
      <c r="V196" s="13">
        <v>43996</v>
      </c>
      <c r="W196" s="8">
        <v>643.6</v>
      </c>
      <c r="X196" s="8">
        <f t="shared" si="6"/>
        <v>-7.2999999999999545</v>
      </c>
      <c r="Y196" s="8">
        <f t="shared" si="7"/>
        <v>-1.1215240436318874</v>
      </c>
      <c r="AA196" s="13">
        <v>43996</v>
      </c>
      <c r="AB196" s="8">
        <v>4007.95</v>
      </c>
      <c r="AC196" s="8">
        <f t="shared" si="8"/>
        <v>-16.950000000000273</v>
      </c>
      <c r="AD196" s="8">
        <f t="shared" si="9"/>
        <v>-0.42112847524162766</v>
      </c>
      <c r="AF196" s="13">
        <v>43996</v>
      </c>
      <c r="AG196" s="8">
        <v>1616.85</v>
      </c>
      <c r="AH196" s="8">
        <f t="shared" si="10"/>
        <v>-23.300000000000182</v>
      </c>
      <c r="AI196" s="8">
        <f t="shared" si="11"/>
        <v>-1.420601774227978</v>
      </c>
      <c r="AK196" s="13">
        <v>43996</v>
      </c>
      <c r="AL196" s="8">
        <v>384.8</v>
      </c>
      <c r="AM196" s="8">
        <f t="shared" si="12"/>
        <v>-4.8000000000000114</v>
      </c>
      <c r="AN196" s="8">
        <f t="shared" si="13"/>
        <v>-1.2320328542094485</v>
      </c>
    </row>
    <row r="197" spans="2:40" x14ac:dyDescent="0.35">
      <c r="B197" s="13">
        <v>43989</v>
      </c>
      <c r="C197" s="8">
        <v>494.25</v>
      </c>
      <c r="D197" s="8">
        <f t="shared" si="0"/>
        <v>20</v>
      </c>
      <c r="E197" s="8">
        <f t="shared" si="1"/>
        <v>4.2171850289931472</v>
      </c>
      <c r="G197" s="16">
        <v>43989</v>
      </c>
      <c r="H197" s="14">
        <v>2460.0500000000002</v>
      </c>
      <c r="I197" s="8">
        <v>69.95</v>
      </c>
      <c r="J197" s="8">
        <v>2.9266557880000001</v>
      </c>
      <c r="L197" s="13">
        <v>43989</v>
      </c>
      <c r="M197" s="8">
        <v>1382.3</v>
      </c>
      <c r="N197" s="8">
        <f t="shared" si="2"/>
        <v>12.950000000000045</v>
      </c>
      <c r="O197" s="8">
        <f t="shared" si="3"/>
        <v>0.94570416621024911</v>
      </c>
      <c r="Q197" s="13">
        <v>43989</v>
      </c>
      <c r="R197" s="8">
        <v>17163.55</v>
      </c>
      <c r="S197" s="8">
        <f t="shared" si="16"/>
        <v>440.14999999999782</v>
      </c>
      <c r="T197" s="8">
        <f t="shared" si="17"/>
        <v>2.6319408732673844</v>
      </c>
      <c r="V197" s="13">
        <v>43989</v>
      </c>
      <c r="W197" s="8">
        <v>650.9</v>
      </c>
      <c r="X197" s="8">
        <f t="shared" si="6"/>
        <v>2.75</v>
      </c>
      <c r="Y197" s="8">
        <f t="shared" si="7"/>
        <v>0.42428450204427987</v>
      </c>
      <c r="AA197" s="13">
        <v>43989</v>
      </c>
      <c r="AB197" s="8">
        <v>4024.9</v>
      </c>
      <c r="AC197" s="8">
        <f t="shared" si="8"/>
        <v>-46.349999999999909</v>
      </c>
      <c r="AD197" s="8">
        <f t="shared" si="9"/>
        <v>-1.1384709855695403</v>
      </c>
      <c r="AF197" s="13">
        <v>43989</v>
      </c>
      <c r="AG197" s="8">
        <v>1640.15</v>
      </c>
      <c r="AH197" s="8">
        <f t="shared" si="10"/>
        <v>107.5</v>
      </c>
      <c r="AI197" s="8">
        <f t="shared" si="11"/>
        <v>7.0139953675007334</v>
      </c>
      <c r="AK197" s="13">
        <v>43989</v>
      </c>
      <c r="AL197" s="8">
        <v>389.6</v>
      </c>
      <c r="AM197" s="8">
        <f t="shared" si="12"/>
        <v>34.900000000000034</v>
      </c>
      <c r="AN197" s="8">
        <f t="shared" si="13"/>
        <v>9.839300817592342</v>
      </c>
    </row>
    <row r="198" spans="2:40" x14ac:dyDescent="0.35">
      <c r="B198" s="13">
        <v>43982</v>
      </c>
      <c r="C198" s="8">
        <v>474.25</v>
      </c>
      <c r="D198" s="8">
        <f t="shared" si="0"/>
        <v>4.8500000000000227</v>
      </c>
      <c r="E198" s="8">
        <f t="shared" si="1"/>
        <v>1.0332339156369883</v>
      </c>
      <c r="G198" s="16">
        <v>43982</v>
      </c>
      <c r="H198" s="14">
        <v>2390.1</v>
      </c>
      <c r="I198" s="8">
        <v>70.099999999999994</v>
      </c>
      <c r="J198" s="8">
        <v>3.021551724</v>
      </c>
      <c r="L198" s="13">
        <v>43982</v>
      </c>
      <c r="M198" s="8">
        <v>1369.35</v>
      </c>
      <c r="N198" s="8">
        <f t="shared" si="2"/>
        <v>-9.1500000000000909</v>
      </c>
      <c r="O198" s="8">
        <f t="shared" si="3"/>
        <v>-0.66376496191513168</v>
      </c>
      <c r="Q198" s="13">
        <v>43982</v>
      </c>
      <c r="R198" s="8">
        <v>16723.400000000001</v>
      </c>
      <c r="S198" s="8">
        <f t="shared" si="16"/>
        <v>299.5</v>
      </c>
      <c r="T198" s="8">
        <f t="shared" si="17"/>
        <v>1.8235620041524849</v>
      </c>
      <c r="V198" s="13">
        <v>43982</v>
      </c>
      <c r="W198" s="8">
        <v>648.15</v>
      </c>
      <c r="X198" s="8">
        <f t="shared" si="6"/>
        <v>8.7999999999999545</v>
      </c>
      <c r="Y198" s="8">
        <f t="shared" si="7"/>
        <v>1.3763979041213661</v>
      </c>
      <c r="AA198" s="13">
        <v>43982</v>
      </c>
      <c r="AB198" s="8">
        <v>4071.25</v>
      </c>
      <c r="AC198" s="8">
        <f t="shared" si="8"/>
        <v>178.40000000000009</v>
      </c>
      <c r="AD198" s="8">
        <f t="shared" si="9"/>
        <v>4.5827607023132169</v>
      </c>
      <c r="AF198" s="13">
        <v>43982</v>
      </c>
      <c r="AG198" s="8">
        <v>1532.65</v>
      </c>
      <c r="AH198" s="8">
        <f t="shared" si="10"/>
        <v>20.450000000000045</v>
      </c>
      <c r="AI198" s="8">
        <f t="shared" si="11"/>
        <v>1.3523343473085601</v>
      </c>
      <c r="AK198" s="13">
        <v>43982</v>
      </c>
      <c r="AL198" s="8">
        <v>354.7</v>
      </c>
      <c r="AM198" s="8">
        <f t="shared" si="12"/>
        <v>4.3999999999999773</v>
      </c>
      <c r="AN198" s="8">
        <f t="shared" si="13"/>
        <v>1.2560662289466107</v>
      </c>
    </row>
    <row r="199" spans="2:40" x14ac:dyDescent="0.35">
      <c r="B199" s="13">
        <v>43975</v>
      </c>
      <c r="C199" s="8">
        <v>469.4</v>
      </c>
      <c r="D199" s="8">
        <f t="shared" si="0"/>
        <v>20.799999999999955</v>
      </c>
      <c r="E199" s="8">
        <f t="shared" si="1"/>
        <v>4.6366473473027092</v>
      </c>
      <c r="G199" s="16">
        <v>43975</v>
      </c>
      <c r="H199" s="14">
        <v>2320</v>
      </c>
      <c r="I199" s="8">
        <v>-15.2</v>
      </c>
      <c r="J199" s="8">
        <v>-0.6509078452</v>
      </c>
      <c r="L199" s="13">
        <v>43975</v>
      </c>
      <c r="M199" s="8">
        <v>1378.5</v>
      </c>
      <c r="N199" s="8">
        <f t="shared" si="2"/>
        <v>-14.450000000000045</v>
      </c>
      <c r="O199" s="8">
        <f t="shared" si="3"/>
        <v>-1.0373667396532571</v>
      </c>
      <c r="Q199" s="13">
        <v>43975</v>
      </c>
      <c r="R199" s="8">
        <v>16423.900000000001</v>
      </c>
      <c r="S199" s="8">
        <f t="shared" si="16"/>
        <v>-1195.6499999999978</v>
      </c>
      <c r="T199" s="8">
        <f t="shared" si="17"/>
        <v>-6.7859281309681458</v>
      </c>
      <c r="V199" s="13">
        <v>43975</v>
      </c>
      <c r="W199" s="8">
        <v>639.35</v>
      </c>
      <c r="X199" s="8">
        <f t="shared" si="6"/>
        <v>69.050000000000068</v>
      </c>
      <c r="Y199" s="8">
        <f t="shared" si="7"/>
        <v>12.107662633701574</v>
      </c>
      <c r="AA199" s="13">
        <v>43975</v>
      </c>
      <c r="AB199" s="8">
        <v>3892.85</v>
      </c>
      <c r="AC199" s="8">
        <f t="shared" si="8"/>
        <v>157.75</v>
      </c>
      <c r="AD199" s="8">
        <f t="shared" si="9"/>
        <v>4.223447832722016</v>
      </c>
      <c r="AF199" s="13">
        <v>43975</v>
      </c>
      <c r="AG199" s="8">
        <v>1512.2</v>
      </c>
      <c r="AH199" s="8">
        <f t="shared" si="10"/>
        <v>-83.700000000000045</v>
      </c>
      <c r="AI199" s="8">
        <f t="shared" si="11"/>
        <v>-5.2446895168870249</v>
      </c>
      <c r="AK199" s="13">
        <v>43975</v>
      </c>
      <c r="AL199" s="8">
        <v>350.3</v>
      </c>
      <c r="AM199" s="8">
        <f t="shared" si="12"/>
        <v>21.800000000000011</v>
      </c>
      <c r="AN199" s="8">
        <f t="shared" si="13"/>
        <v>6.6362252663622554</v>
      </c>
    </row>
    <row r="200" spans="2:40" x14ac:dyDescent="0.35">
      <c r="B200" s="13">
        <v>43968</v>
      </c>
      <c r="C200" s="8">
        <v>448.6</v>
      </c>
      <c r="D200" s="8">
        <f t="shared" si="0"/>
        <v>-20.399999999999977</v>
      </c>
      <c r="E200" s="8">
        <f t="shared" si="1"/>
        <v>-4.349680170575688</v>
      </c>
      <c r="G200" s="16">
        <v>43968</v>
      </c>
      <c r="H200" s="14">
        <v>2335.1999999999998</v>
      </c>
      <c r="I200" s="8">
        <v>34.4</v>
      </c>
      <c r="J200" s="8">
        <v>1.4951321280000001</v>
      </c>
      <c r="L200" s="13">
        <v>43968</v>
      </c>
      <c r="M200" s="8">
        <v>1392.95</v>
      </c>
      <c r="N200" s="8">
        <f t="shared" si="2"/>
        <v>-44.5</v>
      </c>
      <c r="O200" s="8">
        <f t="shared" si="3"/>
        <v>-3.095759852516609</v>
      </c>
      <c r="Q200" s="13">
        <v>43968</v>
      </c>
      <c r="R200" s="8">
        <v>17619.55</v>
      </c>
      <c r="S200" s="8">
        <f t="shared" si="16"/>
        <v>-85.200000000000728</v>
      </c>
      <c r="T200" s="8">
        <f t="shared" si="17"/>
        <v>-0.48122678942092223</v>
      </c>
      <c r="V200" s="13">
        <v>43968</v>
      </c>
      <c r="W200" s="8">
        <v>570.29999999999995</v>
      </c>
      <c r="X200" s="8">
        <f t="shared" si="6"/>
        <v>-21.600000000000023</v>
      </c>
      <c r="Y200" s="8">
        <f t="shared" si="7"/>
        <v>-3.6492650785605716</v>
      </c>
      <c r="AA200" s="13">
        <v>43968</v>
      </c>
      <c r="AB200" s="8">
        <v>3735.1</v>
      </c>
      <c r="AC200" s="8">
        <f t="shared" si="8"/>
        <v>-248.90000000000009</v>
      </c>
      <c r="AD200" s="8">
        <f t="shared" si="9"/>
        <v>-6.247489959839359</v>
      </c>
      <c r="AF200" s="13">
        <v>43968</v>
      </c>
      <c r="AG200" s="8">
        <v>1595.9</v>
      </c>
      <c r="AH200" s="8">
        <f t="shared" si="10"/>
        <v>43.350000000000136</v>
      </c>
      <c r="AI200" s="8">
        <f t="shared" si="11"/>
        <v>2.7921806060996515</v>
      </c>
      <c r="AK200" s="13">
        <v>43968</v>
      </c>
      <c r="AL200" s="8">
        <v>328.5</v>
      </c>
      <c r="AM200" s="8">
        <f t="shared" si="12"/>
        <v>-30.75</v>
      </c>
      <c r="AN200" s="8">
        <f t="shared" si="13"/>
        <v>-8.5594989561586647</v>
      </c>
    </row>
    <row r="201" spans="2:40" x14ac:dyDescent="0.35">
      <c r="B201" s="13">
        <v>43961</v>
      </c>
      <c r="C201" s="8">
        <v>469</v>
      </c>
      <c r="D201" s="8">
        <f t="shared" si="0"/>
        <v>4.5500000000000114</v>
      </c>
      <c r="E201" s="8">
        <f t="shared" si="1"/>
        <v>0.97965335342878923</v>
      </c>
      <c r="G201" s="16">
        <v>43961</v>
      </c>
      <c r="H201" s="14">
        <v>2300.8000000000002</v>
      </c>
      <c r="I201" s="8">
        <v>-32.1</v>
      </c>
      <c r="J201" s="8">
        <v>-1.3759698229999999</v>
      </c>
      <c r="L201" s="13">
        <v>43961</v>
      </c>
      <c r="M201" s="8">
        <v>1437.45</v>
      </c>
      <c r="N201" s="8">
        <f t="shared" si="2"/>
        <v>-6.7999999999999545</v>
      </c>
      <c r="O201" s="8">
        <f t="shared" si="3"/>
        <v>-0.47083261208239258</v>
      </c>
      <c r="Q201" s="13">
        <v>43961</v>
      </c>
      <c r="R201" s="8">
        <v>17704.75</v>
      </c>
      <c r="S201" s="8">
        <f t="shared" si="16"/>
        <v>-26</v>
      </c>
      <c r="T201" s="8">
        <f t="shared" si="17"/>
        <v>-0.14663790307798599</v>
      </c>
      <c r="V201" s="13">
        <v>43961</v>
      </c>
      <c r="W201" s="8">
        <v>591.9</v>
      </c>
      <c r="X201" s="8">
        <f t="shared" si="6"/>
        <v>2.2999999999999545</v>
      </c>
      <c r="Y201" s="8">
        <f t="shared" si="7"/>
        <v>0.39009497964721074</v>
      </c>
      <c r="AA201" s="13">
        <v>43961</v>
      </c>
      <c r="AB201" s="8">
        <v>3984</v>
      </c>
      <c r="AC201" s="8">
        <f t="shared" si="8"/>
        <v>47.699999999999818</v>
      </c>
      <c r="AD201" s="8">
        <f t="shared" si="9"/>
        <v>1.2117978812590458</v>
      </c>
      <c r="AF201" s="13">
        <v>43961</v>
      </c>
      <c r="AG201" s="8">
        <v>1552.55</v>
      </c>
      <c r="AH201" s="8">
        <f t="shared" si="10"/>
        <v>-33.299999999999955</v>
      </c>
      <c r="AI201" s="8">
        <f t="shared" si="11"/>
        <v>-2.0998202856512251</v>
      </c>
      <c r="AK201" s="13">
        <v>43961</v>
      </c>
      <c r="AL201" s="8">
        <v>359.25</v>
      </c>
      <c r="AM201" s="8">
        <f t="shared" si="12"/>
        <v>5.3000000000000114</v>
      </c>
      <c r="AN201" s="8">
        <f t="shared" si="13"/>
        <v>1.4973866365305866</v>
      </c>
    </row>
    <row r="202" spans="2:40" x14ac:dyDescent="0.35">
      <c r="B202" s="13">
        <v>43954</v>
      </c>
      <c r="C202" s="8">
        <v>464.45</v>
      </c>
      <c r="D202" s="8">
        <f t="shared" si="0"/>
        <v>-21.100000000000023</v>
      </c>
      <c r="E202" s="8">
        <f t="shared" si="1"/>
        <v>-4.3455874781176034</v>
      </c>
      <c r="G202" s="16">
        <v>43954</v>
      </c>
      <c r="H202" s="14">
        <v>2332.9</v>
      </c>
      <c r="I202" s="8">
        <v>-92.5</v>
      </c>
      <c r="J202" s="8">
        <v>-3.8138039090000002</v>
      </c>
      <c r="L202" s="13">
        <v>43954</v>
      </c>
      <c r="M202" s="8">
        <v>1444.25</v>
      </c>
      <c r="N202" s="8">
        <f t="shared" si="2"/>
        <v>-10.799999999999955</v>
      </c>
      <c r="O202" s="8">
        <f t="shared" si="3"/>
        <v>-0.74224253462080025</v>
      </c>
      <c r="Q202" s="13">
        <v>43954</v>
      </c>
      <c r="R202" s="8">
        <v>17730.75</v>
      </c>
      <c r="S202" s="8">
        <f t="shared" si="16"/>
        <v>1290.7999999999993</v>
      </c>
      <c r="T202" s="8">
        <f t="shared" si="17"/>
        <v>7.8516053880942414</v>
      </c>
      <c r="V202" s="13">
        <v>43954</v>
      </c>
      <c r="W202" s="8">
        <v>589.6</v>
      </c>
      <c r="X202" s="8">
        <f t="shared" si="6"/>
        <v>-9.6999999999999318</v>
      </c>
      <c r="Y202" s="8">
        <f t="shared" si="7"/>
        <v>-1.6185549808109347</v>
      </c>
      <c r="AA202" s="13">
        <v>43954</v>
      </c>
      <c r="AB202" s="8">
        <v>3936.3</v>
      </c>
      <c r="AC202" s="8">
        <f t="shared" si="8"/>
        <v>-66.5</v>
      </c>
      <c r="AD202" s="8">
        <f t="shared" si="9"/>
        <v>-1.6613370640551612</v>
      </c>
      <c r="AF202" s="13">
        <v>43954</v>
      </c>
      <c r="AG202" s="8">
        <v>1585.85</v>
      </c>
      <c r="AH202" s="8">
        <f t="shared" si="10"/>
        <v>89.699999999999818</v>
      </c>
      <c r="AI202" s="8">
        <f t="shared" si="11"/>
        <v>5.9953881629515635</v>
      </c>
      <c r="AK202" s="13">
        <v>43954</v>
      </c>
      <c r="AL202" s="8">
        <v>353.95</v>
      </c>
      <c r="AM202" s="8">
        <f t="shared" si="12"/>
        <v>-3.4499999999999886</v>
      </c>
      <c r="AN202" s="8">
        <f t="shared" si="13"/>
        <v>-0.96530498041409873</v>
      </c>
    </row>
    <row r="203" spans="2:40" x14ac:dyDescent="0.35">
      <c r="B203" s="13">
        <v>43947</v>
      </c>
      <c r="C203" s="8">
        <v>485.55</v>
      </c>
      <c r="D203" s="8">
        <f t="shared" si="0"/>
        <v>28.449999999999989</v>
      </c>
      <c r="E203" s="8">
        <f t="shared" si="1"/>
        <v>6.2240210019689322</v>
      </c>
      <c r="G203" s="16">
        <v>43947</v>
      </c>
      <c r="H203" s="14">
        <v>2425.4</v>
      </c>
      <c r="I203" s="8">
        <v>93.2</v>
      </c>
      <c r="J203" s="8">
        <v>3.9962267389999999</v>
      </c>
      <c r="L203" s="13">
        <v>43947</v>
      </c>
      <c r="M203" s="8">
        <v>1455.05</v>
      </c>
      <c r="N203" s="8">
        <f t="shared" si="2"/>
        <v>-0.25</v>
      </c>
      <c r="O203" s="8">
        <f t="shared" si="3"/>
        <v>-1.7178588607160036E-2</v>
      </c>
      <c r="Q203" s="13">
        <v>43947</v>
      </c>
      <c r="R203" s="8">
        <v>16439.95</v>
      </c>
      <c r="S203" s="8">
        <f t="shared" si="16"/>
        <v>-478.54999999999927</v>
      </c>
      <c r="T203" s="8">
        <f t="shared" si="17"/>
        <v>-2.828560451576672</v>
      </c>
      <c r="V203" s="13">
        <v>43947</v>
      </c>
      <c r="W203" s="8">
        <v>599.29999999999995</v>
      </c>
      <c r="X203" s="8">
        <f t="shared" si="6"/>
        <v>1.2999999999999545</v>
      </c>
      <c r="Y203" s="8">
        <f t="shared" si="7"/>
        <v>0.21739130434781848</v>
      </c>
      <c r="AA203" s="13">
        <v>43947</v>
      </c>
      <c r="AB203" s="8">
        <v>4002.8</v>
      </c>
      <c r="AC203" s="8">
        <f t="shared" si="8"/>
        <v>73.25</v>
      </c>
      <c r="AD203" s="8">
        <f t="shared" si="9"/>
        <v>1.8640811288824419</v>
      </c>
      <c r="AF203" s="13">
        <v>43947</v>
      </c>
      <c r="AG203" s="8">
        <v>1496.15</v>
      </c>
      <c r="AH203" s="8">
        <f t="shared" si="10"/>
        <v>-25.5</v>
      </c>
      <c r="AI203" s="8">
        <f t="shared" si="11"/>
        <v>-1.6758124404429402</v>
      </c>
      <c r="AK203" s="13">
        <v>43947</v>
      </c>
      <c r="AL203" s="8">
        <v>357.4</v>
      </c>
      <c r="AM203" s="8">
        <f t="shared" si="12"/>
        <v>2.1499999999999773</v>
      </c>
      <c r="AN203" s="8">
        <f t="shared" si="13"/>
        <v>0.60520760028148546</v>
      </c>
    </row>
    <row r="204" spans="2:40" x14ac:dyDescent="0.35">
      <c r="B204" s="13">
        <v>43940</v>
      </c>
      <c r="C204" s="8">
        <v>457.1</v>
      </c>
      <c r="D204" s="8">
        <f t="shared" si="0"/>
        <v>2.6500000000000341</v>
      </c>
      <c r="E204" s="8">
        <f t="shared" si="1"/>
        <v>0.58312245571570787</v>
      </c>
      <c r="G204" s="16">
        <v>43940</v>
      </c>
      <c r="H204" s="14">
        <v>2332.1999999999998</v>
      </c>
      <c r="I204" s="8">
        <v>21.3</v>
      </c>
      <c r="J204" s="8">
        <v>0.92171881089999996</v>
      </c>
      <c r="L204" s="13">
        <v>43940</v>
      </c>
      <c r="M204" s="8">
        <v>1455.3</v>
      </c>
      <c r="N204" s="8">
        <f t="shared" si="2"/>
        <v>58.950000000000045</v>
      </c>
      <c r="O204" s="8">
        <f t="shared" si="3"/>
        <v>4.2217209152433162</v>
      </c>
      <c r="Q204" s="13">
        <v>43940</v>
      </c>
      <c r="R204" s="8">
        <v>16918.5</v>
      </c>
      <c r="S204" s="8">
        <f t="shared" si="16"/>
        <v>-966.09999999999854</v>
      </c>
      <c r="T204" s="8">
        <f t="shared" si="17"/>
        <v>-5.4018541091218069</v>
      </c>
      <c r="V204" s="13">
        <v>43940</v>
      </c>
      <c r="W204" s="8">
        <v>598</v>
      </c>
      <c r="X204" s="8">
        <f t="shared" si="6"/>
        <v>18.399999999999977</v>
      </c>
      <c r="Y204" s="8">
        <f t="shared" si="7"/>
        <v>3.1746031746031704</v>
      </c>
      <c r="AA204" s="13">
        <v>43940</v>
      </c>
      <c r="AB204" s="8">
        <v>3929.55</v>
      </c>
      <c r="AC204" s="8">
        <f t="shared" si="8"/>
        <v>308</v>
      </c>
      <c r="AD204" s="8">
        <f t="shared" si="9"/>
        <v>8.5046458008311347</v>
      </c>
      <c r="AF204" s="13">
        <v>43940</v>
      </c>
      <c r="AG204" s="8">
        <v>1521.65</v>
      </c>
      <c r="AH204" s="8">
        <f t="shared" si="10"/>
        <v>46.200000000000045</v>
      </c>
      <c r="AI204" s="8">
        <f t="shared" si="11"/>
        <v>3.1312480938018941</v>
      </c>
      <c r="AK204" s="13">
        <v>43940</v>
      </c>
      <c r="AL204" s="8">
        <v>355.25</v>
      </c>
      <c r="AM204" s="8">
        <f t="shared" si="12"/>
        <v>21.5</v>
      </c>
      <c r="AN204" s="8">
        <f t="shared" si="13"/>
        <v>6.4419475655430709</v>
      </c>
    </row>
    <row r="205" spans="2:40" x14ac:dyDescent="0.35">
      <c r="B205" s="13">
        <v>43933</v>
      </c>
      <c r="C205" s="8">
        <v>454.45</v>
      </c>
      <c r="D205" s="8">
        <f t="shared" si="0"/>
        <v>78.5</v>
      </c>
      <c r="E205" s="8">
        <f t="shared" si="1"/>
        <v>20.880436228221839</v>
      </c>
      <c r="G205" s="16">
        <v>43933</v>
      </c>
      <c r="H205" s="14">
        <v>2310.9</v>
      </c>
      <c r="I205" s="8">
        <v>409.85</v>
      </c>
      <c r="J205" s="8">
        <v>21.559138369999999</v>
      </c>
      <c r="L205" s="13">
        <v>43933</v>
      </c>
      <c r="M205" s="8">
        <v>1396.35</v>
      </c>
      <c r="N205" s="8">
        <f t="shared" si="2"/>
        <v>172.14999999999986</v>
      </c>
      <c r="O205" s="8">
        <f t="shared" si="3"/>
        <v>14.062244731253051</v>
      </c>
      <c r="Q205" s="13">
        <v>43933</v>
      </c>
      <c r="R205" s="8">
        <v>17884.599999999999</v>
      </c>
      <c r="S205" s="8">
        <f t="shared" si="16"/>
        <v>2074.0999999999985</v>
      </c>
      <c r="T205" s="8">
        <f t="shared" si="17"/>
        <v>13.118497201227024</v>
      </c>
      <c r="V205" s="13">
        <v>43933</v>
      </c>
      <c r="W205" s="8">
        <v>579.6</v>
      </c>
      <c r="X205" s="8">
        <f t="shared" si="6"/>
        <v>130.40000000000003</v>
      </c>
      <c r="Y205" s="8">
        <f t="shared" si="7"/>
        <v>29.029385574354418</v>
      </c>
      <c r="AA205" s="13">
        <v>43933</v>
      </c>
      <c r="AB205" s="8">
        <v>3621.55</v>
      </c>
      <c r="AC205" s="8">
        <f t="shared" si="8"/>
        <v>474.75</v>
      </c>
      <c r="AD205" s="8">
        <f t="shared" si="9"/>
        <v>15.086754798525485</v>
      </c>
      <c r="AF205" s="13">
        <v>43933</v>
      </c>
      <c r="AG205" s="8">
        <v>1475.45</v>
      </c>
      <c r="AH205" s="8">
        <f t="shared" si="10"/>
        <v>135.65000000000009</v>
      </c>
      <c r="AI205" s="8">
        <f t="shared" si="11"/>
        <v>10.124645469473062</v>
      </c>
      <c r="AK205" s="13">
        <v>43933</v>
      </c>
      <c r="AL205" s="8">
        <v>333.75</v>
      </c>
      <c r="AM205" s="8">
        <f t="shared" si="12"/>
        <v>42.800000000000011</v>
      </c>
      <c r="AN205" s="8">
        <f t="shared" si="13"/>
        <v>14.710431345592029</v>
      </c>
    </row>
    <row r="206" spans="2:40" x14ac:dyDescent="0.35">
      <c r="B206" s="13">
        <v>43926</v>
      </c>
      <c r="C206" s="8">
        <v>375.95</v>
      </c>
      <c r="D206" s="8">
        <f t="shared" si="0"/>
        <v>37.699999999999989</v>
      </c>
      <c r="E206" s="8">
        <f t="shared" si="1"/>
        <v>11.145602365114557</v>
      </c>
      <c r="G206" s="16">
        <v>43926</v>
      </c>
      <c r="H206" s="14">
        <v>1901.05</v>
      </c>
      <c r="I206" s="8">
        <v>38.5</v>
      </c>
      <c r="J206" s="8">
        <v>2.0670586019999999</v>
      </c>
      <c r="L206" s="13">
        <v>43926</v>
      </c>
      <c r="M206" s="8">
        <v>1224.2</v>
      </c>
      <c r="N206" s="8">
        <f t="shared" si="2"/>
        <v>44.650000000000091</v>
      </c>
      <c r="O206" s="8">
        <f t="shared" si="3"/>
        <v>3.7853418676614043</v>
      </c>
      <c r="Q206" s="13">
        <v>43926</v>
      </c>
      <c r="R206" s="8">
        <v>15810.5</v>
      </c>
      <c r="S206" s="8">
        <f t="shared" si="16"/>
        <v>1664.3999999999996</v>
      </c>
      <c r="T206" s="8">
        <f t="shared" si="17"/>
        <v>11.765787036709762</v>
      </c>
      <c r="V206" s="13">
        <v>43926</v>
      </c>
      <c r="W206" s="8">
        <v>449.2</v>
      </c>
      <c r="X206" s="8">
        <f t="shared" si="6"/>
        <v>41.550000000000011</v>
      </c>
      <c r="Y206" s="8">
        <f t="shared" si="7"/>
        <v>10.192567153195146</v>
      </c>
      <c r="AA206" s="13">
        <v>43926</v>
      </c>
      <c r="AB206" s="8">
        <v>3146.8</v>
      </c>
      <c r="AC206" s="8">
        <f t="shared" si="8"/>
        <v>230.30000000000018</v>
      </c>
      <c r="AD206" s="8">
        <f t="shared" si="9"/>
        <v>7.8964512257843369</v>
      </c>
      <c r="AF206" s="13">
        <v>43926</v>
      </c>
      <c r="AG206" s="8">
        <v>1339.8</v>
      </c>
      <c r="AH206" s="8">
        <f t="shared" si="10"/>
        <v>-162.15000000000009</v>
      </c>
      <c r="AI206" s="8">
        <f t="shared" si="11"/>
        <v>-10.79596524518127</v>
      </c>
      <c r="AK206" s="13">
        <v>43926</v>
      </c>
      <c r="AL206" s="8">
        <v>290.95</v>
      </c>
      <c r="AM206" s="8">
        <f t="shared" si="12"/>
        <v>13.25</v>
      </c>
      <c r="AN206" s="8">
        <f t="shared" si="13"/>
        <v>4.7713359740727403</v>
      </c>
    </row>
    <row r="207" spans="2:40" x14ac:dyDescent="0.35">
      <c r="B207" s="13">
        <v>43919</v>
      </c>
      <c r="C207" s="8">
        <v>338.25</v>
      </c>
      <c r="D207" s="8">
        <f t="shared" si="0"/>
        <v>-27</v>
      </c>
      <c r="E207" s="8">
        <f t="shared" si="1"/>
        <v>-7.3921971252566738</v>
      </c>
      <c r="G207" s="16">
        <v>43919</v>
      </c>
      <c r="H207" s="14">
        <v>1862.55</v>
      </c>
      <c r="I207" s="8">
        <v>-132.35</v>
      </c>
      <c r="J207" s="8">
        <v>-6.6344177650000002</v>
      </c>
      <c r="L207" s="13">
        <v>43919</v>
      </c>
      <c r="M207" s="8">
        <v>1179.55</v>
      </c>
      <c r="N207" s="8">
        <f t="shared" si="2"/>
        <v>-45.400000000000091</v>
      </c>
      <c r="O207" s="8">
        <f t="shared" si="3"/>
        <v>-3.7062737254581894</v>
      </c>
      <c r="Q207" s="13">
        <v>43919</v>
      </c>
      <c r="R207" s="8">
        <v>14146.1</v>
      </c>
      <c r="S207" s="8">
        <f t="shared" ref="S207:S270" si="18">IF(AND(ISNUMBER(R207),ISNUMBER(R208)), (R207 - R208), "")</f>
        <v>-590.69999999999891</v>
      </c>
      <c r="T207" s="8">
        <f t="shared" ref="T207:T270" si="19">IF(AND(ISNUMBER(S207),ISNUMBER(R208)), (100*S207/ABS(R208)), "")</f>
        <v>-4.0083328809510812</v>
      </c>
      <c r="V207" s="13">
        <v>43919</v>
      </c>
      <c r="W207" s="8">
        <v>407.65</v>
      </c>
      <c r="X207" s="8">
        <f t="shared" si="6"/>
        <v>14.849999999999966</v>
      </c>
      <c r="Y207" s="8">
        <f t="shared" si="7"/>
        <v>3.7805498981669974</v>
      </c>
      <c r="AA207" s="13">
        <v>43919</v>
      </c>
      <c r="AB207" s="8">
        <v>2916.5</v>
      </c>
      <c r="AC207" s="8">
        <f t="shared" si="8"/>
        <v>19.25</v>
      </c>
      <c r="AD207" s="8">
        <f t="shared" si="9"/>
        <v>0.66442315989300194</v>
      </c>
      <c r="AF207" s="13">
        <v>43919</v>
      </c>
      <c r="AG207" s="8">
        <v>1501.95</v>
      </c>
      <c r="AH207" s="8">
        <f t="shared" si="10"/>
        <v>95.850000000000136</v>
      </c>
      <c r="AI207" s="8">
        <f t="shared" si="11"/>
        <v>6.8167271175592168</v>
      </c>
      <c r="AK207" s="13">
        <v>43919</v>
      </c>
      <c r="AL207" s="8">
        <v>277.7</v>
      </c>
      <c r="AM207" s="8">
        <f t="shared" si="12"/>
        <v>3.1999999999999886</v>
      </c>
      <c r="AN207" s="8">
        <f t="shared" si="13"/>
        <v>1.1657559198542764</v>
      </c>
    </row>
    <row r="208" spans="2:40" x14ac:dyDescent="0.35">
      <c r="B208" s="13">
        <v>43912</v>
      </c>
      <c r="C208" s="8">
        <v>365.25</v>
      </c>
      <c r="D208" s="8">
        <f t="shared" si="0"/>
        <v>-18.949999999999989</v>
      </c>
      <c r="E208" s="8">
        <f t="shared" si="1"/>
        <v>-4.9323269130661087</v>
      </c>
      <c r="G208" s="16">
        <v>43912</v>
      </c>
      <c r="H208" s="14">
        <v>1994.9</v>
      </c>
      <c r="I208" s="8">
        <v>32.200000000000003</v>
      </c>
      <c r="J208" s="8">
        <v>1.6405971370000001</v>
      </c>
      <c r="L208" s="13">
        <v>43912</v>
      </c>
      <c r="M208" s="8">
        <v>1224.95</v>
      </c>
      <c r="N208" s="8">
        <f t="shared" si="2"/>
        <v>-39.899999999999864</v>
      </c>
      <c r="O208" s="8">
        <f t="shared" si="3"/>
        <v>-3.1545242518875649</v>
      </c>
      <c r="Q208" s="13">
        <v>43912</v>
      </c>
      <c r="R208" s="8">
        <v>14736.8</v>
      </c>
      <c r="S208" s="8">
        <f t="shared" si="18"/>
        <v>-237.15000000000146</v>
      </c>
      <c r="T208" s="8">
        <f t="shared" si="19"/>
        <v>-1.5837504466089538</v>
      </c>
      <c r="V208" s="13">
        <v>43912</v>
      </c>
      <c r="W208" s="8">
        <v>392.8</v>
      </c>
      <c r="X208" s="8">
        <f t="shared" si="6"/>
        <v>-32.75</v>
      </c>
      <c r="Y208" s="8">
        <f t="shared" si="7"/>
        <v>-7.6959229232757602</v>
      </c>
      <c r="AA208" s="13">
        <v>43912</v>
      </c>
      <c r="AB208" s="8">
        <v>2897.25</v>
      </c>
      <c r="AC208" s="8">
        <f t="shared" si="8"/>
        <v>12.150000000000091</v>
      </c>
      <c r="AD208" s="8">
        <f t="shared" si="9"/>
        <v>0.4211292502859551</v>
      </c>
      <c r="AF208" s="13">
        <v>43912</v>
      </c>
      <c r="AG208" s="8">
        <v>1406.1</v>
      </c>
      <c r="AH208" s="8">
        <f t="shared" si="10"/>
        <v>-166.60000000000014</v>
      </c>
      <c r="AI208" s="8">
        <f t="shared" si="11"/>
        <v>-10.593247281744778</v>
      </c>
      <c r="AK208" s="13">
        <v>43912</v>
      </c>
      <c r="AL208" s="8">
        <v>274.5</v>
      </c>
      <c r="AM208" s="8">
        <f t="shared" si="12"/>
        <v>-13.5</v>
      </c>
      <c r="AN208" s="8">
        <f t="shared" si="13"/>
        <v>-4.6875</v>
      </c>
    </row>
    <row r="209" spans="2:40" x14ac:dyDescent="0.35">
      <c r="B209" s="13">
        <v>43905</v>
      </c>
      <c r="C209" s="8">
        <v>384.2</v>
      </c>
      <c r="D209" s="8">
        <f t="shared" si="0"/>
        <v>-16.699999999999989</v>
      </c>
      <c r="E209" s="8">
        <f t="shared" si="1"/>
        <v>-4.1656273384883988</v>
      </c>
      <c r="G209" s="16">
        <v>43905</v>
      </c>
      <c r="H209" s="14">
        <v>1962.7</v>
      </c>
      <c r="I209" s="8">
        <v>-277.35000000000002</v>
      </c>
      <c r="J209" s="8">
        <v>-12.38142006</v>
      </c>
      <c r="L209" s="13">
        <v>43905</v>
      </c>
      <c r="M209" s="8">
        <v>1264.8499999999999</v>
      </c>
      <c r="N209" s="8">
        <f t="shared" si="2"/>
        <v>-66.100000000000136</v>
      </c>
      <c r="O209" s="8">
        <f t="shared" si="3"/>
        <v>-4.9663773996017984</v>
      </c>
      <c r="Q209" s="13">
        <v>43905</v>
      </c>
      <c r="R209" s="8">
        <v>14973.95</v>
      </c>
      <c r="S209" s="8">
        <f t="shared" si="18"/>
        <v>-615.19999999999891</v>
      </c>
      <c r="T209" s="8">
        <f t="shared" si="19"/>
        <v>-3.9463344698075193</v>
      </c>
      <c r="V209" s="13">
        <v>43905</v>
      </c>
      <c r="W209" s="8">
        <v>425.55</v>
      </c>
      <c r="X209" s="8">
        <f t="shared" si="6"/>
        <v>-8.8499999999999659</v>
      </c>
      <c r="Y209" s="8">
        <f t="shared" si="7"/>
        <v>-2.0372928176795502</v>
      </c>
      <c r="AA209" s="13">
        <v>43905</v>
      </c>
      <c r="AB209" s="8">
        <v>2885.1</v>
      </c>
      <c r="AC209" s="8">
        <f t="shared" si="8"/>
        <v>-285.84999999999991</v>
      </c>
      <c r="AD209" s="8">
        <f t="shared" si="9"/>
        <v>-9.0146486068843696</v>
      </c>
      <c r="AF209" s="13">
        <v>43905</v>
      </c>
      <c r="AG209" s="8">
        <v>1572.7</v>
      </c>
      <c r="AH209" s="8">
        <f t="shared" si="10"/>
        <v>-115.75</v>
      </c>
      <c r="AI209" s="8">
        <f t="shared" si="11"/>
        <v>-6.8553999230063072</v>
      </c>
      <c r="AK209" s="13">
        <v>43905</v>
      </c>
      <c r="AL209" s="8">
        <v>288</v>
      </c>
      <c r="AM209" s="8">
        <f t="shared" si="12"/>
        <v>-22.050000000000011</v>
      </c>
      <c r="AN209" s="8">
        <f t="shared" si="13"/>
        <v>-7.1117561683599444</v>
      </c>
    </row>
    <row r="210" spans="2:40" x14ac:dyDescent="0.35">
      <c r="B210" s="13">
        <v>43898</v>
      </c>
      <c r="C210" s="8">
        <v>400.9</v>
      </c>
      <c r="D210" s="8">
        <f t="shared" si="0"/>
        <v>28</v>
      </c>
      <c r="E210" s="8">
        <f t="shared" si="1"/>
        <v>7.5087154733172436</v>
      </c>
      <c r="G210" s="16">
        <v>43898</v>
      </c>
      <c r="H210" s="14">
        <v>2240.0500000000002</v>
      </c>
      <c r="I210" s="8">
        <v>133.1</v>
      </c>
      <c r="J210" s="8">
        <v>6.3171883529999997</v>
      </c>
      <c r="L210" s="13">
        <v>43898</v>
      </c>
      <c r="M210" s="8">
        <v>1330.95</v>
      </c>
      <c r="N210" s="8">
        <f t="shared" si="2"/>
        <v>24.950000000000045</v>
      </c>
      <c r="O210" s="8">
        <f t="shared" si="3"/>
        <v>1.9104134762634031</v>
      </c>
      <c r="Q210" s="13">
        <v>43898</v>
      </c>
      <c r="R210" s="8">
        <v>15589.15</v>
      </c>
      <c r="S210" s="8">
        <f t="shared" si="18"/>
        <v>-129.80000000000109</v>
      </c>
      <c r="T210" s="8">
        <f t="shared" si="19"/>
        <v>-0.82575490093168491</v>
      </c>
      <c r="V210" s="13">
        <v>43898</v>
      </c>
      <c r="W210" s="8">
        <v>434.4</v>
      </c>
      <c r="X210" s="8">
        <f t="shared" si="6"/>
        <v>32.299999999999955</v>
      </c>
      <c r="Y210" s="8">
        <f t="shared" si="7"/>
        <v>8.0328276548122233</v>
      </c>
      <c r="AA210" s="13">
        <v>43898</v>
      </c>
      <c r="AB210" s="8">
        <v>3170.95</v>
      </c>
      <c r="AC210" s="8">
        <f t="shared" si="8"/>
        <v>243.84999999999991</v>
      </c>
      <c r="AD210" s="8">
        <f t="shared" si="9"/>
        <v>8.3307710703426583</v>
      </c>
      <c r="AF210" s="13">
        <v>43898</v>
      </c>
      <c r="AG210" s="8">
        <v>1688.45</v>
      </c>
      <c r="AH210" s="8">
        <f t="shared" si="10"/>
        <v>60.299999999999955</v>
      </c>
      <c r="AI210" s="8">
        <f t="shared" si="11"/>
        <v>3.7035899640696468</v>
      </c>
      <c r="AK210" s="13">
        <v>43898</v>
      </c>
      <c r="AL210" s="8">
        <v>310.05</v>
      </c>
      <c r="AM210" s="8">
        <f t="shared" si="12"/>
        <v>23.150000000000034</v>
      </c>
      <c r="AN210" s="8">
        <f t="shared" si="13"/>
        <v>8.0690135935866287</v>
      </c>
    </row>
    <row r="211" spans="2:40" x14ac:dyDescent="0.35">
      <c r="B211" s="13">
        <v>43891</v>
      </c>
      <c r="C211" s="8">
        <v>372.9</v>
      </c>
      <c r="D211" s="8">
        <f t="shared" si="0"/>
        <v>-32.050000000000011</v>
      </c>
      <c r="E211" s="8">
        <f t="shared" si="1"/>
        <v>-7.9145573527596023</v>
      </c>
      <c r="G211" s="16">
        <v>43891</v>
      </c>
      <c r="H211" s="14">
        <v>2106.9499999999998</v>
      </c>
      <c r="I211" s="8">
        <v>-62.4</v>
      </c>
      <c r="J211" s="8">
        <v>-2.876437643</v>
      </c>
      <c r="L211" s="13">
        <v>43891</v>
      </c>
      <c r="M211" s="8">
        <v>1306</v>
      </c>
      <c r="N211" s="8">
        <f t="shared" si="2"/>
        <v>-38.650000000000091</v>
      </c>
      <c r="O211" s="8">
        <f t="shared" si="3"/>
        <v>-2.8743539210947153</v>
      </c>
      <c r="Q211" s="13">
        <v>43891</v>
      </c>
      <c r="R211" s="8">
        <v>15718.95</v>
      </c>
      <c r="S211" s="8">
        <f t="shared" si="18"/>
        <v>191.30000000000109</v>
      </c>
      <c r="T211" s="8">
        <f t="shared" si="19"/>
        <v>1.2319958267992974</v>
      </c>
      <c r="V211" s="13">
        <v>43891</v>
      </c>
      <c r="W211" s="8">
        <v>402.1</v>
      </c>
      <c r="X211" s="8">
        <f t="shared" si="6"/>
        <v>-33.649999999999977</v>
      </c>
      <c r="Y211" s="8">
        <f t="shared" si="7"/>
        <v>-7.7223178427997654</v>
      </c>
      <c r="AA211" s="13">
        <v>43891</v>
      </c>
      <c r="AB211" s="8">
        <v>2927.1</v>
      </c>
      <c r="AC211" s="8">
        <f t="shared" si="8"/>
        <v>-328.20000000000027</v>
      </c>
      <c r="AD211" s="8">
        <f t="shared" si="9"/>
        <v>-10.082020090314264</v>
      </c>
      <c r="AF211" s="13">
        <v>43891</v>
      </c>
      <c r="AG211" s="8">
        <v>1628.15</v>
      </c>
      <c r="AH211" s="8">
        <f t="shared" si="10"/>
        <v>9.4000000000000909</v>
      </c>
      <c r="AI211" s="8">
        <f t="shared" si="11"/>
        <v>0.58069498069498626</v>
      </c>
      <c r="AK211" s="13">
        <v>43891</v>
      </c>
      <c r="AL211" s="8">
        <v>286.89999999999998</v>
      </c>
      <c r="AM211" s="8">
        <f t="shared" si="12"/>
        <v>-28.150000000000034</v>
      </c>
      <c r="AN211" s="8">
        <f t="shared" si="13"/>
        <v>-8.9350896683066292</v>
      </c>
    </row>
    <row r="212" spans="2:40" x14ac:dyDescent="0.35">
      <c r="B212" s="13">
        <v>43884</v>
      </c>
      <c r="C212" s="8">
        <v>404.95</v>
      </c>
      <c r="D212" s="8">
        <f t="shared" si="0"/>
        <v>-13.600000000000023</v>
      </c>
      <c r="E212" s="8">
        <f t="shared" si="1"/>
        <v>-3.2493131047664612</v>
      </c>
      <c r="G212" s="16">
        <v>43884</v>
      </c>
      <c r="H212" s="14">
        <v>2169.35</v>
      </c>
      <c r="I212" s="8">
        <v>22.9</v>
      </c>
      <c r="J212" s="8">
        <v>1.066877868</v>
      </c>
      <c r="L212" s="13">
        <v>43884</v>
      </c>
      <c r="M212" s="8">
        <v>1344.65</v>
      </c>
      <c r="N212" s="8">
        <f t="shared" si="2"/>
        <v>8.7000000000000455</v>
      </c>
      <c r="O212" s="8">
        <f t="shared" si="3"/>
        <v>0.65122197687039529</v>
      </c>
      <c r="Q212" s="13">
        <v>43884</v>
      </c>
      <c r="R212" s="8">
        <v>15527.65</v>
      </c>
      <c r="S212" s="8">
        <f t="shared" si="18"/>
        <v>742.60000000000036</v>
      </c>
      <c r="T212" s="8">
        <f t="shared" si="19"/>
        <v>5.022641113827822</v>
      </c>
      <c r="V212" s="13">
        <v>43884</v>
      </c>
      <c r="W212" s="8">
        <v>435.75</v>
      </c>
      <c r="X212" s="8">
        <f t="shared" si="6"/>
        <v>-11.350000000000023</v>
      </c>
      <c r="Y212" s="8">
        <f t="shared" si="7"/>
        <v>-2.5385819727130445</v>
      </c>
      <c r="AA212" s="13">
        <v>43884</v>
      </c>
      <c r="AB212" s="8">
        <v>3255.3</v>
      </c>
      <c r="AC212" s="8">
        <f t="shared" si="8"/>
        <v>-49</v>
      </c>
      <c r="AD212" s="8">
        <f t="shared" si="9"/>
        <v>-1.4829162001028962</v>
      </c>
      <c r="AF212" s="13">
        <v>43884</v>
      </c>
      <c r="AG212" s="8">
        <v>1618.75</v>
      </c>
      <c r="AH212" s="8">
        <f t="shared" si="10"/>
        <v>-30.75</v>
      </c>
      <c r="AI212" s="8">
        <f t="shared" si="11"/>
        <v>-1.8642012731130646</v>
      </c>
      <c r="AK212" s="13">
        <v>43884</v>
      </c>
      <c r="AL212" s="8">
        <v>315.05</v>
      </c>
      <c r="AM212" s="8">
        <f t="shared" si="12"/>
        <v>7.25</v>
      </c>
      <c r="AN212" s="8">
        <f t="shared" si="13"/>
        <v>2.3554256010396362</v>
      </c>
    </row>
    <row r="213" spans="2:40" x14ac:dyDescent="0.35">
      <c r="B213" s="13">
        <v>43877</v>
      </c>
      <c r="C213" s="8">
        <v>418.55</v>
      </c>
      <c r="D213" s="8">
        <f t="shared" si="0"/>
        <v>-12.25</v>
      </c>
      <c r="E213" s="8">
        <f t="shared" si="1"/>
        <v>-2.8435468895078921</v>
      </c>
      <c r="G213" s="16">
        <v>43877</v>
      </c>
      <c r="H213" s="14">
        <v>2146.4499999999998</v>
      </c>
      <c r="I213" s="8">
        <v>60.5</v>
      </c>
      <c r="J213" s="8">
        <v>2.9003571510000001</v>
      </c>
      <c r="L213" s="13">
        <v>43877</v>
      </c>
      <c r="M213" s="8">
        <v>1335.95</v>
      </c>
      <c r="N213" s="8">
        <f t="shared" si="2"/>
        <v>-20.5</v>
      </c>
      <c r="O213" s="8">
        <f t="shared" si="3"/>
        <v>-1.5112978731247004</v>
      </c>
      <c r="Q213" s="13">
        <v>43877</v>
      </c>
      <c r="R213" s="8">
        <v>14785.05</v>
      </c>
      <c r="S213" s="8">
        <f t="shared" si="18"/>
        <v>681.89999999999964</v>
      </c>
      <c r="T213" s="8">
        <f t="shared" si="19"/>
        <v>4.8350900330777149</v>
      </c>
      <c r="V213" s="13">
        <v>43877</v>
      </c>
      <c r="W213" s="8">
        <v>447.1</v>
      </c>
      <c r="X213" s="8">
        <f t="shared" si="6"/>
        <v>3.9000000000000341</v>
      </c>
      <c r="Y213" s="8">
        <f t="shared" si="7"/>
        <v>0.87996389891697524</v>
      </c>
      <c r="AA213" s="13">
        <v>43877</v>
      </c>
      <c r="AB213" s="8">
        <v>3304.3</v>
      </c>
      <c r="AC213" s="8">
        <f t="shared" si="8"/>
        <v>137.60000000000036</v>
      </c>
      <c r="AD213" s="8">
        <f t="shared" si="9"/>
        <v>4.3452174187640251</v>
      </c>
      <c r="AF213" s="13">
        <v>43877</v>
      </c>
      <c r="AG213" s="8">
        <v>1649.5</v>
      </c>
      <c r="AH213" s="8">
        <f t="shared" si="10"/>
        <v>33.5</v>
      </c>
      <c r="AI213" s="8">
        <f t="shared" si="11"/>
        <v>2.0730198019801982</v>
      </c>
      <c r="AK213" s="13">
        <v>43877</v>
      </c>
      <c r="AL213" s="8">
        <v>307.8</v>
      </c>
      <c r="AM213" s="8">
        <f t="shared" si="12"/>
        <v>-1.0999999999999659</v>
      </c>
      <c r="AN213" s="8">
        <f t="shared" si="13"/>
        <v>-0.35610229847846098</v>
      </c>
    </row>
    <row r="214" spans="2:40" x14ac:dyDescent="0.35">
      <c r="B214" s="13">
        <v>43870</v>
      </c>
      <c r="C214" s="8">
        <v>430.8</v>
      </c>
      <c r="D214" s="8">
        <f t="shared" si="0"/>
        <v>8</v>
      </c>
      <c r="E214" s="8">
        <f t="shared" si="1"/>
        <v>1.8921475875118259</v>
      </c>
      <c r="G214" s="16">
        <v>43870</v>
      </c>
      <c r="H214" s="14">
        <v>2085.9499999999998</v>
      </c>
      <c r="I214" s="8">
        <v>99.05</v>
      </c>
      <c r="J214" s="8">
        <v>4.9851527510000002</v>
      </c>
      <c r="L214" s="13">
        <v>43870</v>
      </c>
      <c r="M214" s="8">
        <v>1356.45</v>
      </c>
      <c r="N214" s="8">
        <f t="shared" si="2"/>
        <v>-283.84999999999991</v>
      </c>
      <c r="O214" s="8">
        <f t="shared" si="3"/>
        <v>-17.304761324148018</v>
      </c>
      <c r="Q214" s="13">
        <v>43870</v>
      </c>
      <c r="R214" s="8">
        <v>14103.15</v>
      </c>
      <c r="S214" s="8">
        <f t="shared" si="18"/>
        <v>1783.8500000000004</v>
      </c>
      <c r="T214" s="8">
        <f t="shared" si="19"/>
        <v>14.480124682408906</v>
      </c>
      <c r="V214" s="13">
        <v>43870</v>
      </c>
      <c r="W214" s="8">
        <v>443.2</v>
      </c>
      <c r="X214" s="8">
        <f t="shared" si="6"/>
        <v>-1</v>
      </c>
      <c r="Y214" s="8">
        <f t="shared" si="7"/>
        <v>-0.22512381809995499</v>
      </c>
      <c r="AA214" s="13">
        <v>43870</v>
      </c>
      <c r="AB214" s="8">
        <v>3166.7</v>
      </c>
      <c r="AC214" s="8">
        <f t="shared" si="8"/>
        <v>43.649999999999636</v>
      </c>
      <c r="AD214" s="8">
        <f t="shared" si="9"/>
        <v>1.3976721474199783</v>
      </c>
      <c r="AF214" s="13">
        <v>43870</v>
      </c>
      <c r="AG214" s="8">
        <v>1616</v>
      </c>
      <c r="AH214" s="8">
        <f t="shared" si="10"/>
        <v>-153.15000000000009</v>
      </c>
      <c r="AI214" s="8">
        <f t="shared" si="11"/>
        <v>-8.6566995449792312</v>
      </c>
      <c r="AK214" s="13">
        <v>43870</v>
      </c>
      <c r="AL214" s="8">
        <v>308.89999999999998</v>
      </c>
      <c r="AM214" s="8">
        <f t="shared" si="12"/>
        <v>21.649999999999977</v>
      </c>
      <c r="AN214" s="8">
        <f t="shared" si="13"/>
        <v>7.5369886858137436</v>
      </c>
    </row>
    <row r="215" spans="2:40" x14ac:dyDescent="0.35">
      <c r="B215" s="13">
        <v>43863</v>
      </c>
      <c r="C215" s="8">
        <v>422.8</v>
      </c>
      <c r="D215" s="8">
        <f t="shared" si="0"/>
        <v>-25</v>
      </c>
      <c r="E215" s="8">
        <f t="shared" si="1"/>
        <v>-5.5828494863778468</v>
      </c>
      <c r="G215" s="16">
        <v>43863</v>
      </c>
      <c r="H215" s="14">
        <v>1986.9</v>
      </c>
      <c r="I215" s="8">
        <v>76.400000000000006</v>
      </c>
      <c r="J215" s="8">
        <v>3.9989531540000001</v>
      </c>
      <c r="L215" s="13">
        <v>43863</v>
      </c>
      <c r="M215" s="8">
        <v>1640.3</v>
      </c>
      <c r="N215" s="8">
        <f t="shared" si="2"/>
        <v>1</v>
      </c>
      <c r="O215" s="8">
        <f t="shared" si="3"/>
        <v>6.1001647044470204E-2</v>
      </c>
      <c r="Q215" s="13">
        <v>43863</v>
      </c>
      <c r="R215" s="8">
        <v>12319.3</v>
      </c>
      <c r="S215" s="8">
        <f t="shared" si="18"/>
        <v>-277.95000000000073</v>
      </c>
      <c r="T215" s="8">
        <f t="shared" si="19"/>
        <v>-2.2064339439163367</v>
      </c>
      <c r="V215" s="13">
        <v>43863</v>
      </c>
      <c r="W215" s="8">
        <v>444.2</v>
      </c>
      <c r="X215" s="8">
        <f t="shared" si="6"/>
        <v>-14.650000000000034</v>
      </c>
      <c r="Y215" s="8">
        <f t="shared" si="7"/>
        <v>-3.1927645199956487</v>
      </c>
      <c r="AA215" s="13">
        <v>43863</v>
      </c>
      <c r="AB215" s="8">
        <v>3123.05</v>
      </c>
      <c r="AC215" s="8">
        <f t="shared" si="8"/>
        <v>91.650000000000091</v>
      </c>
      <c r="AD215" s="8">
        <f t="shared" si="9"/>
        <v>3.0233555452926071</v>
      </c>
      <c r="AF215" s="13">
        <v>43863</v>
      </c>
      <c r="AG215" s="8">
        <v>1769.15</v>
      </c>
      <c r="AH215" s="8">
        <f t="shared" si="10"/>
        <v>75.450000000000045</v>
      </c>
      <c r="AI215" s="8">
        <f t="shared" si="11"/>
        <v>4.4547440514849175</v>
      </c>
      <c r="AK215" s="13">
        <v>43863</v>
      </c>
      <c r="AL215" s="8">
        <v>287.25</v>
      </c>
      <c r="AM215" s="8">
        <f t="shared" si="12"/>
        <v>-7.1000000000000227</v>
      </c>
      <c r="AN215" s="8">
        <f t="shared" si="13"/>
        <v>-2.412094445388151</v>
      </c>
    </row>
    <row r="216" spans="2:40" x14ac:dyDescent="0.35">
      <c r="B216" s="13">
        <v>43856</v>
      </c>
      <c r="C216" s="8">
        <v>447.8</v>
      </c>
      <c r="D216" s="8">
        <f t="shared" si="0"/>
        <v>-6.8000000000000114</v>
      </c>
      <c r="E216" s="8">
        <f t="shared" si="1"/>
        <v>-1.4958205015398176</v>
      </c>
      <c r="G216" s="16">
        <v>43856</v>
      </c>
      <c r="H216" s="14">
        <v>1910.5</v>
      </c>
      <c r="I216" s="8">
        <v>7.15</v>
      </c>
      <c r="J216" s="8">
        <v>0.37565345309999998</v>
      </c>
      <c r="L216" s="13">
        <v>43856</v>
      </c>
      <c r="M216" s="8">
        <v>1639.3</v>
      </c>
      <c r="N216" s="8">
        <f t="shared" si="2"/>
        <v>11.450000000000045</v>
      </c>
      <c r="O216" s="8">
        <f t="shared" si="3"/>
        <v>0.70338176121878837</v>
      </c>
      <c r="Q216" s="13">
        <v>43856</v>
      </c>
      <c r="R216" s="8">
        <v>12597.25</v>
      </c>
      <c r="S216" s="8">
        <f t="shared" si="18"/>
        <v>35.799999999999272</v>
      </c>
      <c r="T216" s="8">
        <f t="shared" si="19"/>
        <v>0.28499894518546243</v>
      </c>
      <c r="V216" s="13">
        <v>43856</v>
      </c>
      <c r="W216" s="8">
        <v>458.85</v>
      </c>
      <c r="X216" s="8">
        <f t="shared" si="6"/>
        <v>-21.449999999999989</v>
      </c>
      <c r="Y216" s="8">
        <f t="shared" si="7"/>
        <v>-4.4659587757651451</v>
      </c>
      <c r="AA216" s="13">
        <v>43856</v>
      </c>
      <c r="AB216" s="8">
        <v>3031.4</v>
      </c>
      <c r="AC216" s="8">
        <f t="shared" si="8"/>
        <v>-2.9499999999998181</v>
      </c>
      <c r="AD216" s="8">
        <f t="shared" si="9"/>
        <v>-9.7220162473011296E-2</v>
      </c>
      <c r="AF216" s="13">
        <v>43856</v>
      </c>
      <c r="AG216" s="8">
        <v>1693.7</v>
      </c>
      <c r="AH216" s="8">
        <f t="shared" si="10"/>
        <v>23.799999999999955</v>
      </c>
      <c r="AI216" s="8">
        <f t="shared" si="11"/>
        <v>1.4252350440146089</v>
      </c>
      <c r="AK216" s="13">
        <v>43856</v>
      </c>
      <c r="AL216" s="8">
        <v>294.35000000000002</v>
      </c>
      <c r="AM216" s="8">
        <f t="shared" si="12"/>
        <v>3.8000000000000114</v>
      </c>
      <c r="AN216" s="8">
        <f t="shared" si="13"/>
        <v>1.3078643951127211</v>
      </c>
    </row>
    <row r="217" spans="2:40" x14ac:dyDescent="0.35">
      <c r="B217" s="13">
        <v>43849</v>
      </c>
      <c r="C217" s="8">
        <v>454.6</v>
      </c>
      <c r="D217" s="8">
        <f t="shared" si="0"/>
        <v>11</v>
      </c>
      <c r="E217" s="8">
        <f t="shared" si="1"/>
        <v>2.4797114517583405</v>
      </c>
      <c r="G217" s="16">
        <v>43849</v>
      </c>
      <c r="H217" s="14">
        <v>1903.35</v>
      </c>
      <c r="I217" s="8">
        <v>37.049999999999997</v>
      </c>
      <c r="J217" s="8">
        <v>1.9852113810000001</v>
      </c>
      <c r="L217" s="13">
        <v>43849</v>
      </c>
      <c r="M217" s="8">
        <v>1627.85</v>
      </c>
      <c r="N217" s="8">
        <f t="shared" si="2"/>
        <v>0.9499999999998181</v>
      </c>
      <c r="O217" s="8">
        <f t="shared" si="3"/>
        <v>5.8393263261406238E-2</v>
      </c>
      <c r="Q217" s="13">
        <v>43849</v>
      </c>
      <c r="R217" s="8">
        <v>12561.45</v>
      </c>
      <c r="S217" s="8">
        <f t="shared" si="18"/>
        <v>26.75</v>
      </c>
      <c r="T217" s="8">
        <f t="shared" si="19"/>
        <v>0.21340758055637549</v>
      </c>
      <c r="V217" s="13">
        <v>43849</v>
      </c>
      <c r="W217" s="8">
        <v>480.3</v>
      </c>
      <c r="X217" s="8">
        <f t="shared" si="6"/>
        <v>6.8000000000000114</v>
      </c>
      <c r="Y217" s="8">
        <f t="shared" si="7"/>
        <v>1.4361140443505831</v>
      </c>
      <c r="AA217" s="13">
        <v>43849</v>
      </c>
      <c r="AB217" s="8">
        <v>3034.35</v>
      </c>
      <c r="AC217" s="8">
        <f t="shared" si="8"/>
        <v>101.34999999999991</v>
      </c>
      <c r="AD217" s="8">
        <f t="shared" si="9"/>
        <v>3.4555063075349439</v>
      </c>
      <c r="AF217" s="13">
        <v>43849</v>
      </c>
      <c r="AG217" s="8">
        <v>1669.9</v>
      </c>
      <c r="AH217" s="8">
        <f t="shared" si="10"/>
        <v>29.25</v>
      </c>
      <c r="AI217" s="8">
        <f t="shared" si="11"/>
        <v>1.7828299759241764</v>
      </c>
      <c r="AK217" s="13">
        <v>43849</v>
      </c>
      <c r="AL217" s="8">
        <v>290.55</v>
      </c>
      <c r="AM217" s="8">
        <f t="shared" si="12"/>
        <v>9.4499999999999886</v>
      </c>
      <c r="AN217" s="8">
        <f t="shared" si="13"/>
        <v>3.3617929562433253</v>
      </c>
    </row>
    <row r="218" spans="2:40" x14ac:dyDescent="0.35">
      <c r="B218" s="13">
        <v>43842</v>
      </c>
      <c r="C218" s="8">
        <v>443.6</v>
      </c>
      <c r="D218" s="8">
        <f t="shared" si="0"/>
        <v>-1</v>
      </c>
      <c r="E218" s="8">
        <f t="shared" si="1"/>
        <v>-0.22492127755285649</v>
      </c>
      <c r="G218" s="16">
        <v>43842</v>
      </c>
      <c r="H218" s="14">
        <v>1866.3</v>
      </c>
      <c r="I218" s="8">
        <v>31.5</v>
      </c>
      <c r="J218" s="8">
        <v>1.7168083709999999</v>
      </c>
      <c r="L218" s="13">
        <v>43842</v>
      </c>
      <c r="M218" s="8">
        <v>1626.9</v>
      </c>
      <c r="N218" s="8">
        <f t="shared" si="2"/>
        <v>15.800000000000182</v>
      </c>
      <c r="O218" s="8">
        <f t="shared" si="3"/>
        <v>0.98069641859600165</v>
      </c>
      <c r="Q218" s="13">
        <v>43842</v>
      </c>
      <c r="R218" s="8">
        <v>12534.7</v>
      </c>
      <c r="S218" s="8">
        <f t="shared" si="18"/>
        <v>-713.54999999999927</v>
      </c>
      <c r="T218" s="8">
        <f t="shared" si="19"/>
        <v>-5.3859943766157743</v>
      </c>
      <c r="V218" s="13">
        <v>43842</v>
      </c>
      <c r="W218" s="8">
        <v>473.5</v>
      </c>
      <c r="X218" s="8">
        <f t="shared" si="6"/>
        <v>3.5500000000000114</v>
      </c>
      <c r="Y218" s="8">
        <f t="shared" si="7"/>
        <v>0.755399510586235</v>
      </c>
      <c r="AA218" s="13">
        <v>43842</v>
      </c>
      <c r="AB218" s="8">
        <v>2933</v>
      </c>
      <c r="AC218" s="8">
        <f t="shared" si="8"/>
        <v>49.099999999999909</v>
      </c>
      <c r="AD218" s="8">
        <f t="shared" si="9"/>
        <v>1.7025555671139745</v>
      </c>
      <c r="AF218" s="13">
        <v>43842</v>
      </c>
      <c r="AG218" s="8">
        <v>1640.65</v>
      </c>
      <c r="AH218" s="8">
        <f t="shared" si="10"/>
        <v>100.45000000000005</v>
      </c>
      <c r="AI218" s="8">
        <f t="shared" si="11"/>
        <v>6.5218802752889253</v>
      </c>
      <c r="AK218" s="13">
        <v>43842</v>
      </c>
      <c r="AL218" s="8">
        <v>281.10000000000002</v>
      </c>
      <c r="AM218" s="8">
        <f t="shared" si="12"/>
        <v>-19.849999999999966</v>
      </c>
      <c r="AN218" s="8">
        <f t="shared" si="13"/>
        <v>-6.5957800299052884</v>
      </c>
    </row>
    <row r="219" spans="2:40" x14ac:dyDescent="0.35">
      <c r="B219" s="13">
        <v>43835</v>
      </c>
      <c r="C219" s="8">
        <v>444.6</v>
      </c>
      <c r="D219" s="8">
        <f t="shared" si="0"/>
        <v>18.600000000000023</v>
      </c>
      <c r="E219" s="8">
        <f t="shared" si="1"/>
        <v>4.3661971830985973</v>
      </c>
      <c r="G219" s="16">
        <v>43835</v>
      </c>
      <c r="H219" s="14">
        <v>1834.8</v>
      </c>
      <c r="I219" s="8">
        <v>4.6500000000000004</v>
      </c>
      <c r="J219" s="8">
        <v>0.25407753459999999</v>
      </c>
      <c r="L219" s="13">
        <v>43835</v>
      </c>
      <c r="M219" s="8">
        <v>1611.1</v>
      </c>
      <c r="N219" s="8">
        <f t="shared" si="2"/>
        <v>-6.9000000000000909</v>
      </c>
      <c r="O219" s="8">
        <f t="shared" si="3"/>
        <v>-0.42645241038319476</v>
      </c>
      <c r="Q219" s="13">
        <v>43835</v>
      </c>
      <c r="R219" s="8">
        <v>13248.25</v>
      </c>
      <c r="S219" s="8">
        <f t="shared" si="18"/>
        <v>54</v>
      </c>
      <c r="T219" s="8">
        <f t="shared" si="19"/>
        <v>0.40926918923015709</v>
      </c>
      <c r="V219" s="13">
        <v>43835</v>
      </c>
      <c r="W219" s="8">
        <v>469.95</v>
      </c>
      <c r="X219" s="8">
        <f t="shared" si="6"/>
        <v>-11.150000000000034</v>
      </c>
      <c r="Y219" s="8">
        <f t="shared" si="7"/>
        <v>-2.3176054874246588</v>
      </c>
      <c r="AA219" s="13">
        <v>43835</v>
      </c>
      <c r="AB219" s="8">
        <v>2883.9</v>
      </c>
      <c r="AC219" s="8">
        <f t="shared" si="8"/>
        <v>-13.699999999999818</v>
      </c>
      <c r="AD219" s="8">
        <f t="shared" si="9"/>
        <v>-0.47280508006625549</v>
      </c>
      <c r="AF219" s="13">
        <v>43835</v>
      </c>
      <c r="AG219" s="8">
        <v>1540.2</v>
      </c>
      <c r="AH219" s="8">
        <f t="shared" si="10"/>
        <v>43.5</v>
      </c>
      <c r="AI219" s="8">
        <f t="shared" si="11"/>
        <v>2.9063940669472839</v>
      </c>
      <c r="AK219" s="13">
        <v>43835</v>
      </c>
      <c r="AL219" s="8">
        <v>300.95</v>
      </c>
      <c r="AM219" s="8">
        <f t="shared" si="12"/>
        <v>8.5500000000000114</v>
      </c>
      <c r="AN219" s="8">
        <f t="shared" si="13"/>
        <v>2.9240766073871449</v>
      </c>
    </row>
    <row r="220" spans="2:40" x14ac:dyDescent="0.35">
      <c r="B220" s="13">
        <v>43828</v>
      </c>
      <c r="C220" s="8">
        <v>426</v>
      </c>
      <c r="D220" s="8">
        <f t="shared" si="0"/>
        <v>-4.3000000000000114</v>
      </c>
      <c r="E220" s="8">
        <f t="shared" si="1"/>
        <v>-0.9993028119916364</v>
      </c>
      <c r="G220" s="16">
        <v>43828</v>
      </c>
      <c r="H220" s="14">
        <v>1830.15</v>
      </c>
      <c r="I220" s="8">
        <v>12.15</v>
      </c>
      <c r="J220" s="8">
        <v>0.6683168317</v>
      </c>
      <c r="L220" s="13">
        <v>43828</v>
      </c>
      <c r="M220" s="8">
        <v>1618</v>
      </c>
      <c r="N220" s="8">
        <f t="shared" si="2"/>
        <v>-41.599999999999909</v>
      </c>
      <c r="O220" s="8">
        <f t="shared" si="3"/>
        <v>-2.5066281031573818</v>
      </c>
      <c r="Q220" s="13">
        <v>43828</v>
      </c>
      <c r="R220" s="8">
        <v>13194.25</v>
      </c>
      <c r="S220" s="8">
        <f t="shared" si="18"/>
        <v>209.60000000000036</v>
      </c>
      <c r="T220" s="8">
        <f t="shared" si="19"/>
        <v>1.6142137061838431</v>
      </c>
      <c r="V220" s="13">
        <v>43828</v>
      </c>
      <c r="W220" s="8">
        <v>481.1</v>
      </c>
      <c r="X220" s="8">
        <f t="shared" si="6"/>
        <v>15.350000000000023</v>
      </c>
      <c r="Y220" s="8">
        <f t="shared" si="7"/>
        <v>3.2957595276435905</v>
      </c>
      <c r="AA220" s="13">
        <v>43828</v>
      </c>
      <c r="AB220" s="8">
        <v>2897.6</v>
      </c>
      <c r="AC220" s="8">
        <f t="shared" si="8"/>
        <v>34.25</v>
      </c>
      <c r="AD220" s="8">
        <f t="shared" si="9"/>
        <v>1.1961513611678629</v>
      </c>
      <c r="AF220" s="13">
        <v>43828</v>
      </c>
      <c r="AG220" s="8">
        <v>1496.7</v>
      </c>
      <c r="AH220" s="8">
        <f t="shared" si="10"/>
        <v>25.799999999999955</v>
      </c>
      <c r="AI220" s="8">
        <f t="shared" si="11"/>
        <v>1.7540281460330378</v>
      </c>
      <c r="AK220" s="13">
        <v>43828</v>
      </c>
      <c r="AL220" s="8">
        <v>292.39999999999998</v>
      </c>
      <c r="AM220" s="8">
        <f t="shared" si="12"/>
        <v>2.9499999999999886</v>
      </c>
      <c r="AN220" s="8">
        <f t="shared" si="13"/>
        <v>1.0191742960787662</v>
      </c>
    </row>
    <row r="221" spans="2:40" x14ac:dyDescent="0.35">
      <c r="B221" s="13">
        <v>43821</v>
      </c>
      <c r="C221" s="8">
        <v>430.3</v>
      </c>
      <c r="D221" s="8">
        <f t="shared" si="0"/>
        <v>-8.9499999999999886</v>
      </c>
      <c r="E221" s="8">
        <f t="shared" si="1"/>
        <v>-2.0375640295958997</v>
      </c>
      <c r="G221" s="16">
        <v>43821</v>
      </c>
      <c r="H221" s="14">
        <v>1818</v>
      </c>
      <c r="I221" s="8">
        <v>-24</v>
      </c>
      <c r="J221" s="8">
        <v>-1.3029315960000001</v>
      </c>
      <c r="L221" s="13">
        <v>43821</v>
      </c>
      <c r="M221" s="8">
        <v>1659.6</v>
      </c>
      <c r="N221" s="8">
        <f t="shared" si="2"/>
        <v>-15</v>
      </c>
      <c r="O221" s="8">
        <f t="shared" si="3"/>
        <v>-0.89573629523468301</v>
      </c>
      <c r="Q221" s="13">
        <v>43821</v>
      </c>
      <c r="R221" s="8">
        <v>12984.65</v>
      </c>
      <c r="S221" s="8">
        <f t="shared" si="18"/>
        <v>2.5</v>
      </c>
      <c r="T221" s="8">
        <f t="shared" si="19"/>
        <v>1.9257210862607503E-2</v>
      </c>
      <c r="V221" s="13">
        <v>43821</v>
      </c>
      <c r="W221" s="8">
        <v>465.75</v>
      </c>
      <c r="X221" s="8">
        <f t="shared" si="6"/>
        <v>4.5</v>
      </c>
      <c r="Y221" s="8">
        <f t="shared" si="7"/>
        <v>0.97560975609756095</v>
      </c>
      <c r="AA221" s="13">
        <v>43821</v>
      </c>
      <c r="AB221" s="8">
        <v>2863.35</v>
      </c>
      <c r="AC221" s="8">
        <f t="shared" si="8"/>
        <v>41.849999999999909</v>
      </c>
      <c r="AD221" s="8">
        <f t="shared" si="9"/>
        <v>1.4832535885167433</v>
      </c>
      <c r="AF221" s="13">
        <v>43821</v>
      </c>
      <c r="AG221" s="8">
        <v>1470.9</v>
      </c>
      <c r="AH221" s="8">
        <f t="shared" si="10"/>
        <v>3.2000000000000455</v>
      </c>
      <c r="AI221" s="8">
        <f t="shared" si="11"/>
        <v>0.21802820739933537</v>
      </c>
      <c r="AK221" s="13">
        <v>43821</v>
      </c>
      <c r="AL221" s="8">
        <v>289.45</v>
      </c>
      <c r="AM221" s="8">
        <f t="shared" si="12"/>
        <v>-2.9000000000000341</v>
      </c>
      <c r="AN221" s="8">
        <f t="shared" si="13"/>
        <v>-0.99196168975544174</v>
      </c>
    </row>
    <row r="222" spans="2:40" x14ac:dyDescent="0.35">
      <c r="B222" s="13">
        <v>43814</v>
      </c>
      <c r="C222" s="8">
        <v>439.25</v>
      </c>
      <c r="D222" s="8">
        <f t="shared" si="0"/>
        <v>10.649999999999977</v>
      </c>
      <c r="E222" s="8">
        <f t="shared" si="1"/>
        <v>2.484834344377036</v>
      </c>
      <c r="G222" s="16">
        <v>43814</v>
      </c>
      <c r="H222" s="14">
        <v>1842</v>
      </c>
      <c r="I222" s="8">
        <v>58.15</v>
      </c>
      <c r="J222" s="8">
        <v>3.2598032350000001</v>
      </c>
      <c r="L222" s="13">
        <v>43814</v>
      </c>
      <c r="M222" s="8">
        <v>1674.6</v>
      </c>
      <c r="N222" s="8">
        <f t="shared" si="2"/>
        <v>38.699999999999818</v>
      </c>
      <c r="O222" s="8">
        <f t="shared" si="3"/>
        <v>2.3656702732440746</v>
      </c>
      <c r="Q222" s="13">
        <v>43814</v>
      </c>
      <c r="R222" s="8">
        <v>12982.15</v>
      </c>
      <c r="S222" s="8">
        <f t="shared" si="18"/>
        <v>180.85000000000036</v>
      </c>
      <c r="T222" s="8">
        <f t="shared" si="19"/>
        <v>1.4127471428683054</v>
      </c>
      <c r="V222" s="13">
        <v>43814</v>
      </c>
      <c r="W222" s="8">
        <v>461.25</v>
      </c>
      <c r="X222" s="8">
        <f t="shared" si="6"/>
        <v>5.8000000000000114</v>
      </c>
      <c r="Y222" s="8">
        <f t="shared" si="7"/>
        <v>1.2734658030519292</v>
      </c>
      <c r="AA222" s="13">
        <v>43814</v>
      </c>
      <c r="AB222" s="8">
        <v>2821.5</v>
      </c>
      <c r="AC222" s="8">
        <f t="shared" si="8"/>
        <v>-69.300000000000182</v>
      </c>
      <c r="AD222" s="8">
        <f t="shared" si="9"/>
        <v>-2.3972602739726088</v>
      </c>
      <c r="AF222" s="13">
        <v>43814</v>
      </c>
      <c r="AG222" s="8">
        <v>1467.7</v>
      </c>
      <c r="AH222" s="8">
        <f t="shared" si="10"/>
        <v>-198.54999999999995</v>
      </c>
      <c r="AI222" s="8">
        <f t="shared" si="11"/>
        <v>-11.915978994748684</v>
      </c>
      <c r="AK222" s="13">
        <v>43814</v>
      </c>
      <c r="AL222" s="8">
        <v>292.35000000000002</v>
      </c>
      <c r="AM222" s="8">
        <f t="shared" si="12"/>
        <v>3.3500000000000227</v>
      </c>
      <c r="AN222" s="8">
        <f t="shared" si="13"/>
        <v>1.1591695501730181</v>
      </c>
    </row>
    <row r="223" spans="2:40" x14ac:dyDescent="0.35">
      <c r="B223" s="13">
        <v>43807</v>
      </c>
      <c r="C223" s="8">
        <v>428.6</v>
      </c>
      <c r="D223" s="8">
        <f t="shared" si="0"/>
        <v>-21.25</v>
      </c>
      <c r="E223" s="8">
        <f t="shared" si="1"/>
        <v>-4.7237968211626091</v>
      </c>
      <c r="G223" s="16">
        <v>43807</v>
      </c>
      <c r="H223" s="14">
        <v>1783.85</v>
      </c>
      <c r="I223" s="8">
        <v>-2.35</v>
      </c>
      <c r="J223" s="8">
        <v>-0.1315642145</v>
      </c>
      <c r="L223" s="13">
        <v>43807</v>
      </c>
      <c r="M223" s="8">
        <v>1635.9</v>
      </c>
      <c r="N223" s="8">
        <f t="shared" si="2"/>
        <v>-41.099999999999909</v>
      </c>
      <c r="O223" s="8">
        <f t="shared" si="3"/>
        <v>-2.4508050089445383</v>
      </c>
      <c r="Q223" s="13">
        <v>43807</v>
      </c>
      <c r="R223" s="8">
        <v>12801.3</v>
      </c>
      <c r="S223" s="8">
        <f t="shared" si="18"/>
        <v>222.89999999999964</v>
      </c>
      <c r="T223" s="8">
        <f t="shared" si="19"/>
        <v>1.772085479870251</v>
      </c>
      <c r="V223" s="13">
        <v>43807</v>
      </c>
      <c r="W223" s="8">
        <v>455.45</v>
      </c>
      <c r="X223" s="8">
        <f t="shared" si="6"/>
        <v>-11.25</v>
      </c>
      <c r="Y223" s="8">
        <f t="shared" si="7"/>
        <v>-2.4105421041354189</v>
      </c>
      <c r="AA223" s="13">
        <v>43807</v>
      </c>
      <c r="AB223" s="8">
        <v>2890.8</v>
      </c>
      <c r="AC223" s="8">
        <f t="shared" si="8"/>
        <v>-23.049999999999727</v>
      </c>
      <c r="AD223" s="8">
        <f t="shared" si="9"/>
        <v>-0.79104964222591168</v>
      </c>
      <c r="AF223" s="13">
        <v>43807</v>
      </c>
      <c r="AG223" s="8">
        <v>1666.25</v>
      </c>
      <c r="AH223" s="8">
        <f t="shared" si="10"/>
        <v>98.349999999999909</v>
      </c>
      <c r="AI223" s="8">
        <f t="shared" si="11"/>
        <v>6.2727214745838324</v>
      </c>
      <c r="AK223" s="13">
        <v>43807</v>
      </c>
      <c r="AL223" s="8">
        <v>289</v>
      </c>
      <c r="AM223" s="8">
        <f t="shared" si="12"/>
        <v>7.3500000000000227</v>
      </c>
      <c r="AN223" s="8">
        <f t="shared" si="13"/>
        <v>2.6096218711166426</v>
      </c>
    </row>
    <row r="224" spans="2:40" x14ac:dyDescent="0.35">
      <c r="B224" s="13">
        <v>43800</v>
      </c>
      <c r="C224" s="8">
        <v>449.85</v>
      </c>
      <c r="D224" s="8">
        <f t="shared" si="0"/>
        <v>-2.25</v>
      </c>
      <c r="E224" s="8">
        <f t="shared" si="1"/>
        <v>-0.49767750497677504</v>
      </c>
      <c r="G224" s="16">
        <v>43800</v>
      </c>
      <c r="H224" s="14">
        <v>1786.2</v>
      </c>
      <c r="I224" s="8">
        <v>52.85</v>
      </c>
      <c r="J224" s="8">
        <v>3.0490091439999998</v>
      </c>
      <c r="L224" s="13">
        <v>43800</v>
      </c>
      <c r="M224" s="8">
        <v>1677</v>
      </c>
      <c r="N224" s="8">
        <f t="shared" si="2"/>
        <v>36.049999999999955</v>
      </c>
      <c r="O224" s="8">
        <f t="shared" si="3"/>
        <v>2.1968981382735584</v>
      </c>
      <c r="Q224" s="13">
        <v>43800</v>
      </c>
      <c r="R224" s="8">
        <v>12578.4</v>
      </c>
      <c r="S224" s="8">
        <f t="shared" si="18"/>
        <v>5</v>
      </c>
      <c r="T224" s="8">
        <f t="shared" si="19"/>
        <v>3.9766491163885663E-2</v>
      </c>
      <c r="V224" s="13">
        <v>43800</v>
      </c>
      <c r="W224" s="8">
        <v>466.7</v>
      </c>
      <c r="X224" s="8">
        <f t="shared" si="6"/>
        <v>-12.150000000000034</v>
      </c>
      <c r="Y224" s="8">
        <f t="shared" si="7"/>
        <v>-2.5373290174376177</v>
      </c>
      <c r="AA224" s="13">
        <v>43800</v>
      </c>
      <c r="AB224" s="8">
        <v>2913.85</v>
      </c>
      <c r="AC224" s="8">
        <f t="shared" si="8"/>
        <v>42.599999999999909</v>
      </c>
      <c r="AD224" s="8">
        <f t="shared" si="9"/>
        <v>1.4836743578580727</v>
      </c>
      <c r="AF224" s="13">
        <v>43800</v>
      </c>
      <c r="AG224" s="8">
        <v>1567.9</v>
      </c>
      <c r="AH224" s="8">
        <f t="shared" si="10"/>
        <v>-7.2999999999999545</v>
      </c>
      <c r="AI224" s="8">
        <f t="shared" si="11"/>
        <v>-0.46343321482986</v>
      </c>
      <c r="AK224" s="13">
        <v>43800</v>
      </c>
      <c r="AL224" s="8">
        <v>281.64999999999998</v>
      </c>
      <c r="AM224" s="8">
        <f t="shared" si="12"/>
        <v>25.749999999999972</v>
      </c>
      <c r="AN224" s="8">
        <f t="shared" si="13"/>
        <v>10.062524423602959</v>
      </c>
    </row>
    <row r="225" spans="2:40" x14ac:dyDescent="0.35">
      <c r="B225" s="13">
        <v>43793</v>
      </c>
      <c r="C225" s="8">
        <v>452.1</v>
      </c>
      <c r="D225" s="8">
        <f t="shared" si="0"/>
        <v>37.050000000000011</v>
      </c>
      <c r="E225" s="8">
        <f t="shared" si="1"/>
        <v>8.9266353451391414</v>
      </c>
      <c r="G225" s="16">
        <v>43793</v>
      </c>
      <c r="H225" s="14">
        <v>1733.35</v>
      </c>
      <c r="I225" s="8">
        <v>-14.35</v>
      </c>
      <c r="J225" s="8">
        <v>-0.82107913259999998</v>
      </c>
      <c r="L225" s="13">
        <v>43793</v>
      </c>
      <c r="M225" s="8">
        <v>1640.95</v>
      </c>
      <c r="N225" s="8">
        <f t="shared" si="2"/>
        <v>34.75</v>
      </c>
      <c r="O225" s="8">
        <f t="shared" si="3"/>
        <v>2.1634914705516124</v>
      </c>
      <c r="Q225" s="13">
        <v>43793</v>
      </c>
      <c r="R225" s="8">
        <v>12573.4</v>
      </c>
      <c r="S225" s="8">
        <f t="shared" si="18"/>
        <v>208.39999999999964</v>
      </c>
      <c r="T225" s="8">
        <f t="shared" si="19"/>
        <v>1.6854023453295564</v>
      </c>
      <c r="V225" s="13">
        <v>43793</v>
      </c>
      <c r="W225" s="8">
        <v>478.85</v>
      </c>
      <c r="X225" s="8">
        <f t="shared" si="6"/>
        <v>15.600000000000023</v>
      </c>
      <c r="Y225" s="8">
        <f t="shared" si="7"/>
        <v>3.3675121424716723</v>
      </c>
      <c r="AA225" s="13">
        <v>43793</v>
      </c>
      <c r="AB225" s="8">
        <v>2871.25</v>
      </c>
      <c r="AC225" s="8">
        <f t="shared" si="8"/>
        <v>140.44999999999982</v>
      </c>
      <c r="AD225" s="8">
        <f t="shared" si="9"/>
        <v>5.1431814852790323</v>
      </c>
      <c r="AF225" s="13">
        <v>43793</v>
      </c>
      <c r="AG225" s="8">
        <v>1575.2</v>
      </c>
      <c r="AH225" s="8">
        <f t="shared" si="10"/>
        <v>-27.099999999999909</v>
      </c>
      <c r="AI225" s="8">
        <f t="shared" si="11"/>
        <v>-1.6913187293265874</v>
      </c>
      <c r="AK225" s="13">
        <v>43793</v>
      </c>
      <c r="AL225" s="8">
        <v>255.9</v>
      </c>
      <c r="AM225" s="8">
        <f t="shared" si="12"/>
        <v>-1.3499999999999943</v>
      </c>
      <c r="AN225" s="8">
        <f t="shared" si="13"/>
        <v>-0.52478134110786956</v>
      </c>
    </row>
    <row r="226" spans="2:40" x14ac:dyDescent="0.35">
      <c r="B226" s="13">
        <v>43786</v>
      </c>
      <c r="C226" s="8">
        <v>415.05</v>
      </c>
      <c r="D226" s="8">
        <f t="shared" si="0"/>
        <v>-7.0500000000000114</v>
      </c>
      <c r="E226" s="8">
        <f t="shared" si="1"/>
        <v>-1.6702203269367475</v>
      </c>
      <c r="G226" s="16">
        <v>43786</v>
      </c>
      <c r="H226" s="14">
        <v>1747.7</v>
      </c>
      <c r="I226" s="8">
        <v>47.75</v>
      </c>
      <c r="J226" s="8">
        <v>2.8089061439999998</v>
      </c>
      <c r="L226" s="13">
        <v>43786</v>
      </c>
      <c r="M226" s="8">
        <v>1606.2</v>
      </c>
      <c r="N226" s="8">
        <f t="shared" si="2"/>
        <v>-5.8999999999998636</v>
      </c>
      <c r="O226" s="8">
        <f t="shared" si="3"/>
        <v>-0.36598225916505578</v>
      </c>
      <c r="Q226" s="13">
        <v>43786</v>
      </c>
      <c r="R226" s="8">
        <v>12365</v>
      </c>
      <c r="S226" s="8">
        <f t="shared" si="18"/>
        <v>862.04999999999927</v>
      </c>
      <c r="T226" s="8">
        <f t="shared" si="19"/>
        <v>7.4941645404004991</v>
      </c>
      <c r="V226" s="13">
        <v>43786</v>
      </c>
      <c r="W226" s="8">
        <v>463.25</v>
      </c>
      <c r="X226" s="8">
        <f t="shared" si="6"/>
        <v>0.75</v>
      </c>
      <c r="Y226" s="8">
        <f t="shared" si="7"/>
        <v>0.16216216216216217</v>
      </c>
      <c r="AA226" s="13">
        <v>43786</v>
      </c>
      <c r="AB226" s="8">
        <v>2730.8</v>
      </c>
      <c r="AC226" s="8">
        <f t="shared" si="8"/>
        <v>-91.299999999999727</v>
      </c>
      <c r="AD226" s="8">
        <f t="shared" si="9"/>
        <v>-3.2351794762765222</v>
      </c>
      <c r="AF226" s="13">
        <v>43786</v>
      </c>
      <c r="AG226" s="8">
        <v>1602.3</v>
      </c>
      <c r="AH226" s="8">
        <f t="shared" si="10"/>
        <v>149.39999999999986</v>
      </c>
      <c r="AI226" s="8">
        <f t="shared" si="11"/>
        <v>10.282882510840377</v>
      </c>
      <c r="AK226" s="13">
        <v>43786</v>
      </c>
      <c r="AL226" s="8">
        <v>257.25</v>
      </c>
      <c r="AM226" s="8">
        <f t="shared" si="12"/>
        <v>-7.75</v>
      </c>
      <c r="AN226" s="8">
        <f t="shared" si="13"/>
        <v>-2.9245283018867925</v>
      </c>
    </row>
    <row r="227" spans="2:40" x14ac:dyDescent="0.35">
      <c r="B227" s="13">
        <v>43779</v>
      </c>
      <c r="C227" s="8">
        <v>422.1</v>
      </c>
      <c r="D227" s="8">
        <f t="shared" si="0"/>
        <v>-15.449999999999989</v>
      </c>
      <c r="E227" s="8">
        <f t="shared" si="1"/>
        <v>-3.5310250257113447</v>
      </c>
      <c r="G227" s="16">
        <v>43779</v>
      </c>
      <c r="H227" s="14">
        <v>1699.95</v>
      </c>
      <c r="I227" s="8">
        <v>-43.2</v>
      </c>
      <c r="J227" s="8">
        <v>-2.4782720939999998</v>
      </c>
      <c r="L227" s="13">
        <v>43779</v>
      </c>
      <c r="M227" s="8">
        <v>1612.1</v>
      </c>
      <c r="N227" s="8">
        <f t="shared" si="2"/>
        <v>-59.650000000000091</v>
      </c>
      <c r="O227" s="8">
        <f t="shared" si="3"/>
        <v>-3.5681172424106529</v>
      </c>
      <c r="Q227" s="13">
        <v>43779</v>
      </c>
      <c r="R227" s="8">
        <v>11502.95</v>
      </c>
      <c r="S227" s="8">
        <f t="shared" si="18"/>
        <v>-117.19999999999891</v>
      </c>
      <c r="T227" s="8">
        <f t="shared" si="19"/>
        <v>-1.0085928322784035</v>
      </c>
      <c r="V227" s="13">
        <v>43779</v>
      </c>
      <c r="W227" s="8">
        <v>462.5</v>
      </c>
      <c r="X227" s="8">
        <f t="shared" si="6"/>
        <v>-6.6999999999999886</v>
      </c>
      <c r="Y227" s="8">
        <f t="shared" si="7"/>
        <v>-1.4279624893435612</v>
      </c>
      <c r="AA227" s="13">
        <v>43779</v>
      </c>
      <c r="AB227" s="8">
        <v>2822.1</v>
      </c>
      <c r="AC227" s="8">
        <f t="shared" si="8"/>
        <v>65.5</v>
      </c>
      <c r="AD227" s="8">
        <f t="shared" si="9"/>
        <v>2.376115504607125</v>
      </c>
      <c r="AF227" s="13">
        <v>43779</v>
      </c>
      <c r="AG227" s="8">
        <v>1452.9</v>
      </c>
      <c r="AH227" s="8">
        <f t="shared" si="10"/>
        <v>1.4500000000000455</v>
      </c>
      <c r="AI227" s="8">
        <f t="shared" si="11"/>
        <v>9.9900099900103026E-2</v>
      </c>
      <c r="AK227" s="13">
        <v>43779</v>
      </c>
      <c r="AL227" s="8">
        <v>265</v>
      </c>
      <c r="AM227" s="8">
        <f t="shared" si="12"/>
        <v>18.75</v>
      </c>
      <c r="AN227" s="8">
        <f t="shared" si="13"/>
        <v>7.6142131979695433</v>
      </c>
    </row>
    <row r="228" spans="2:40" x14ac:dyDescent="0.35">
      <c r="B228" s="13">
        <v>43772</v>
      </c>
      <c r="C228" s="8">
        <v>437.55</v>
      </c>
      <c r="D228" s="8">
        <f t="shared" si="0"/>
        <v>19.800000000000011</v>
      </c>
      <c r="E228" s="8">
        <f t="shared" si="1"/>
        <v>4.7396768402154423</v>
      </c>
      <c r="G228" s="16">
        <v>43772</v>
      </c>
      <c r="H228" s="14">
        <v>1743.15</v>
      </c>
      <c r="I228" s="8">
        <v>-16.350000000000001</v>
      </c>
      <c r="J228" s="8">
        <v>-0.92924126169999999</v>
      </c>
      <c r="L228" s="13">
        <v>43772</v>
      </c>
      <c r="M228" s="8">
        <v>1671.75</v>
      </c>
      <c r="N228" s="8">
        <f t="shared" si="2"/>
        <v>120.59999999999991</v>
      </c>
      <c r="O228" s="8">
        <f t="shared" si="3"/>
        <v>7.7748767043806142</v>
      </c>
      <c r="Q228" s="13">
        <v>43772</v>
      </c>
      <c r="R228" s="8">
        <v>11620.15</v>
      </c>
      <c r="S228" s="8">
        <f t="shared" si="18"/>
        <v>-277.20000000000073</v>
      </c>
      <c r="T228" s="8">
        <f t="shared" si="19"/>
        <v>-2.329930614800781</v>
      </c>
      <c r="V228" s="13">
        <v>43772</v>
      </c>
      <c r="W228" s="8">
        <v>469.2</v>
      </c>
      <c r="X228" s="8">
        <f t="shared" si="6"/>
        <v>8.1499999999999773</v>
      </c>
      <c r="Y228" s="8">
        <f t="shared" si="7"/>
        <v>1.7677041535625153</v>
      </c>
      <c r="AA228" s="13">
        <v>43772</v>
      </c>
      <c r="AB228" s="8">
        <v>2756.6</v>
      </c>
      <c r="AC228" s="8">
        <f t="shared" si="8"/>
        <v>-29</v>
      </c>
      <c r="AD228" s="8">
        <f t="shared" si="9"/>
        <v>-1.0410683515221137</v>
      </c>
      <c r="AF228" s="13">
        <v>43772</v>
      </c>
      <c r="AG228" s="8">
        <v>1451.45</v>
      </c>
      <c r="AH228" s="8">
        <f t="shared" si="10"/>
        <v>-158.59999999999991</v>
      </c>
      <c r="AI228" s="8">
        <f t="shared" si="11"/>
        <v>-9.8506257569640638</v>
      </c>
      <c r="AK228" s="13">
        <v>43772</v>
      </c>
      <c r="AL228" s="8">
        <v>246.25</v>
      </c>
      <c r="AM228" s="8">
        <f t="shared" si="12"/>
        <v>3.5500000000000114</v>
      </c>
      <c r="AN228" s="8">
        <f t="shared" si="13"/>
        <v>1.4627111660486245</v>
      </c>
    </row>
    <row r="229" spans="2:40" x14ac:dyDescent="0.35">
      <c r="B229" s="13">
        <v>43765</v>
      </c>
      <c r="C229" s="8">
        <v>417.75</v>
      </c>
      <c r="D229" s="8">
        <f t="shared" si="0"/>
        <v>16.100000000000023</v>
      </c>
      <c r="E229" s="8">
        <f t="shared" si="1"/>
        <v>4.0084650815386587</v>
      </c>
      <c r="G229" s="16">
        <v>43765</v>
      </c>
      <c r="H229" s="14">
        <v>1759.5</v>
      </c>
      <c r="I229" s="8">
        <v>21.5</v>
      </c>
      <c r="J229" s="8">
        <v>1.237054085</v>
      </c>
      <c r="L229" s="13">
        <v>43765</v>
      </c>
      <c r="M229" s="8">
        <v>1551.15</v>
      </c>
      <c r="N229" s="8">
        <f t="shared" si="2"/>
        <v>112.45000000000005</v>
      </c>
      <c r="O229" s="8">
        <f t="shared" si="3"/>
        <v>7.8160839646903479</v>
      </c>
      <c r="Q229" s="13">
        <v>43765</v>
      </c>
      <c r="R229" s="8">
        <v>11897.35</v>
      </c>
      <c r="S229" s="8">
        <f t="shared" si="18"/>
        <v>1192.8500000000004</v>
      </c>
      <c r="T229" s="8">
        <f t="shared" si="19"/>
        <v>11.143444345835865</v>
      </c>
      <c r="V229" s="13">
        <v>43765</v>
      </c>
      <c r="W229" s="8">
        <v>461.05</v>
      </c>
      <c r="X229" s="8">
        <f t="shared" si="6"/>
        <v>16.900000000000034</v>
      </c>
      <c r="Y229" s="8">
        <f t="shared" si="7"/>
        <v>3.8050208262974299</v>
      </c>
      <c r="AA229" s="13">
        <v>43765</v>
      </c>
      <c r="AB229" s="8">
        <v>2785.6</v>
      </c>
      <c r="AC229" s="8">
        <f t="shared" si="8"/>
        <v>60.75</v>
      </c>
      <c r="AD229" s="8">
        <f t="shared" si="9"/>
        <v>2.2294805218635889</v>
      </c>
      <c r="AF229" s="13">
        <v>43765</v>
      </c>
      <c r="AG229" s="8">
        <v>1610.05</v>
      </c>
      <c r="AH229" s="8">
        <f t="shared" si="10"/>
        <v>190.89999999999986</v>
      </c>
      <c r="AI229" s="8">
        <f t="shared" si="11"/>
        <v>13.451714054187354</v>
      </c>
      <c r="AK229" s="13">
        <v>43765</v>
      </c>
      <c r="AL229" s="8">
        <v>242.7</v>
      </c>
      <c r="AM229" s="8">
        <f t="shared" si="12"/>
        <v>-16.75</v>
      </c>
      <c r="AN229" s="8">
        <f t="shared" si="13"/>
        <v>-6.4559645403738681</v>
      </c>
    </row>
    <row r="230" spans="2:40" x14ac:dyDescent="0.35">
      <c r="B230" s="13">
        <v>43758</v>
      </c>
      <c r="C230" s="8">
        <v>401.65</v>
      </c>
      <c r="D230" s="8">
        <f t="shared" si="0"/>
        <v>15.349999999999966</v>
      </c>
      <c r="E230" s="8">
        <f t="shared" si="1"/>
        <v>3.9735956510483992</v>
      </c>
      <c r="G230" s="16">
        <v>43758</v>
      </c>
      <c r="H230" s="14">
        <v>1738</v>
      </c>
      <c r="I230" s="8">
        <v>48.05</v>
      </c>
      <c r="J230" s="8">
        <v>2.8432793869999999</v>
      </c>
      <c r="L230" s="13">
        <v>43758</v>
      </c>
      <c r="M230" s="8">
        <v>1438.7</v>
      </c>
      <c r="N230" s="8">
        <f t="shared" si="2"/>
        <v>76.75</v>
      </c>
      <c r="O230" s="8">
        <f t="shared" si="3"/>
        <v>5.6353023238738569</v>
      </c>
      <c r="Q230" s="13">
        <v>43758</v>
      </c>
      <c r="R230" s="8">
        <v>10704.5</v>
      </c>
      <c r="S230" s="8">
        <f t="shared" si="18"/>
        <v>-284.75</v>
      </c>
      <c r="T230" s="8">
        <f t="shared" si="19"/>
        <v>-2.5911686420820348</v>
      </c>
      <c r="V230" s="13">
        <v>43758</v>
      </c>
      <c r="W230" s="8">
        <v>444.15</v>
      </c>
      <c r="X230" s="8">
        <f t="shared" si="6"/>
        <v>2.7999999999999545</v>
      </c>
      <c r="Y230" s="8">
        <f t="shared" si="7"/>
        <v>0.63441712926247973</v>
      </c>
      <c r="AA230" s="13">
        <v>43758</v>
      </c>
      <c r="AB230" s="8">
        <v>2724.85</v>
      </c>
      <c r="AC230" s="8">
        <f t="shared" si="8"/>
        <v>73.449999999999818</v>
      </c>
      <c r="AD230" s="8">
        <f t="shared" si="9"/>
        <v>2.7702345930451768</v>
      </c>
      <c r="AF230" s="13">
        <v>43758</v>
      </c>
      <c r="AG230" s="8">
        <v>1419.15</v>
      </c>
      <c r="AH230" s="8">
        <f t="shared" si="10"/>
        <v>45.450000000000045</v>
      </c>
      <c r="AI230" s="8">
        <f t="shared" si="11"/>
        <v>3.3085826599694288</v>
      </c>
      <c r="AK230" s="13">
        <v>43758</v>
      </c>
      <c r="AL230" s="8">
        <v>259.45</v>
      </c>
      <c r="AM230" s="8">
        <f t="shared" si="12"/>
        <v>11.849999999999994</v>
      </c>
      <c r="AN230" s="8">
        <f t="shared" si="13"/>
        <v>4.7859450726978983</v>
      </c>
    </row>
    <row r="231" spans="2:40" x14ac:dyDescent="0.35">
      <c r="B231" s="13">
        <v>43751</v>
      </c>
      <c r="C231" s="8">
        <v>386.3</v>
      </c>
      <c r="D231" s="8">
        <f t="shared" si="0"/>
        <v>0.25</v>
      </c>
      <c r="E231" s="8">
        <f t="shared" si="1"/>
        <v>6.4758450977852614E-2</v>
      </c>
      <c r="G231" s="16">
        <v>43751</v>
      </c>
      <c r="H231" s="14">
        <v>1689.95</v>
      </c>
      <c r="I231" s="8">
        <v>67.7</v>
      </c>
      <c r="J231" s="8">
        <v>4.1732162119999998</v>
      </c>
      <c r="L231" s="13">
        <v>43751</v>
      </c>
      <c r="M231" s="8">
        <v>1361.95</v>
      </c>
      <c r="N231" s="8">
        <f t="shared" si="2"/>
        <v>18.200000000000045</v>
      </c>
      <c r="O231" s="8">
        <f t="shared" si="3"/>
        <v>1.3544186046511661</v>
      </c>
      <c r="Q231" s="13">
        <v>43751</v>
      </c>
      <c r="R231" s="8">
        <v>10989.25</v>
      </c>
      <c r="S231" s="8">
        <f t="shared" si="18"/>
        <v>162.54999999999927</v>
      </c>
      <c r="T231" s="8">
        <f t="shared" si="19"/>
        <v>1.5013808455023161</v>
      </c>
      <c r="V231" s="13">
        <v>43751</v>
      </c>
      <c r="W231" s="8">
        <v>441.35</v>
      </c>
      <c r="X231" s="8">
        <f t="shared" si="6"/>
        <v>23</v>
      </c>
      <c r="Y231" s="8">
        <f t="shared" si="7"/>
        <v>5.4977889327118437</v>
      </c>
      <c r="AA231" s="13">
        <v>43751</v>
      </c>
      <c r="AB231" s="8">
        <v>2651.4</v>
      </c>
      <c r="AC231" s="8">
        <f t="shared" si="8"/>
        <v>33.700000000000273</v>
      </c>
      <c r="AD231" s="8">
        <f t="shared" si="9"/>
        <v>1.2873896932421696</v>
      </c>
      <c r="AF231" s="13">
        <v>43751</v>
      </c>
      <c r="AG231" s="8">
        <v>1373.7</v>
      </c>
      <c r="AH231" s="8">
        <f t="shared" si="10"/>
        <v>22.900000000000091</v>
      </c>
      <c r="AI231" s="8">
        <f t="shared" si="11"/>
        <v>1.6952916790050407</v>
      </c>
      <c r="AK231" s="13">
        <v>43751</v>
      </c>
      <c r="AL231" s="8">
        <v>247.6</v>
      </c>
      <c r="AM231" s="8">
        <f t="shared" si="12"/>
        <v>16.5</v>
      </c>
      <c r="AN231" s="8">
        <f t="shared" si="13"/>
        <v>7.1397663349199485</v>
      </c>
    </row>
    <row r="232" spans="2:40" x14ac:dyDescent="0.35">
      <c r="B232" s="13">
        <v>43744</v>
      </c>
      <c r="C232" s="8">
        <v>386.05</v>
      </c>
      <c r="D232" s="8">
        <f t="shared" si="0"/>
        <v>-15.649999999999977</v>
      </c>
      <c r="E232" s="8">
        <f t="shared" si="1"/>
        <v>-3.8959422454568031</v>
      </c>
      <c r="G232" s="16">
        <v>43744</v>
      </c>
      <c r="H232" s="14">
        <v>1622.25</v>
      </c>
      <c r="I232" s="8">
        <v>-38.200000000000003</v>
      </c>
      <c r="J232" s="8">
        <v>-2.3005811679999999</v>
      </c>
      <c r="L232" s="13">
        <v>43744</v>
      </c>
      <c r="M232" s="8">
        <v>1343.75</v>
      </c>
      <c r="N232" s="8">
        <f t="shared" si="2"/>
        <v>-58.200000000000045</v>
      </c>
      <c r="O232" s="8">
        <f t="shared" si="3"/>
        <v>-4.1513606048717886</v>
      </c>
      <c r="Q232" s="13">
        <v>43744</v>
      </c>
      <c r="R232" s="8">
        <v>10826.7</v>
      </c>
      <c r="S232" s="8">
        <f t="shared" si="18"/>
        <v>137.90000000000146</v>
      </c>
      <c r="T232" s="8">
        <f t="shared" si="19"/>
        <v>1.2901354689020419</v>
      </c>
      <c r="V232" s="13">
        <v>43744</v>
      </c>
      <c r="W232" s="8">
        <v>418.35</v>
      </c>
      <c r="X232" s="8">
        <f t="shared" si="6"/>
        <v>-21.049999999999955</v>
      </c>
      <c r="Y232" s="8">
        <f t="shared" si="7"/>
        <v>-4.7906235776058157</v>
      </c>
      <c r="AA232" s="13">
        <v>43744</v>
      </c>
      <c r="AB232" s="8">
        <v>2617.6999999999998</v>
      </c>
      <c r="AC232" s="8">
        <f t="shared" si="8"/>
        <v>-113.10000000000036</v>
      </c>
      <c r="AD232" s="8">
        <f t="shared" si="9"/>
        <v>-4.1416434744397375</v>
      </c>
      <c r="AF232" s="13">
        <v>43744</v>
      </c>
      <c r="AG232" s="8">
        <v>1350.8</v>
      </c>
      <c r="AH232" s="8">
        <f t="shared" si="10"/>
        <v>-35.25</v>
      </c>
      <c r="AI232" s="8">
        <f t="shared" si="11"/>
        <v>-2.5431982973197216</v>
      </c>
      <c r="AK232" s="13">
        <v>43744</v>
      </c>
      <c r="AL232" s="8">
        <v>231.1</v>
      </c>
      <c r="AM232" s="8">
        <f t="shared" si="12"/>
        <v>13</v>
      </c>
      <c r="AN232" s="8">
        <f t="shared" si="13"/>
        <v>5.9605685465382852</v>
      </c>
    </row>
    <row r="233" spans="2:40" x14ac:dyDescent="0.35">
      <c r="B233" s="13">
        <v>43737</v>
      </c>
      <c r="C233" s="8">
        <v>401.7</v>
      </c>
      <c r="D233" s="8">
        <f t="shared" si="0"/>
        <v>-12</v>
      </c>
      <c r="E233" s="8">
        <f t="shared" si="1"/>
        <v>-2.9006526468455403</v>
      </c>
      <c r="G233" s="16">
        <v>43737</v>
      </c>
      <c r="H233" s="14">
        <v>1660.45</v>
      </c>
      <c r="I233" s="8">
        <v>22.5</v>
      </c>
      <c r="J233" s="8">
        <v>1.373668305</v>
      </c>
      <c r="L233" s="13">
        <v>43737</v>
      </c>
      <c r="M233" s="8">
        <v>1401.95</v>
      </c>
      <c r="N233" s="8">
        <f t="shared" si="2"/>
        <v>17.75</v>
      </c>
      <c r="O233" s="8">
        <f t="shared" si="3"/>
        <v>1.2823291431874007</v>
      </c>
      <c r="Q233" s="13">
        <v>43737</v>
      </c>
      <c r="R233" s="8">
        <v>10688.8</v>
      </c>
      <c r="S233" s="8">
        <f t="shared" si="18"/>
        <v>469.64999999999964</v>
      </c>
      <c r="T233" s="8">
        <f t="shared" si="19"/>
        <v>4.595783406643406</v>
      </c>
      <c r="V233" s="13">
        <v>43737</v>
      </c>
      <c r="W233" s="8">
        <v>439.4</v>
      </c>
      <c r="X233" s="8">
        <f t="shared" si="6"/>
        <v>-23.900000000000034</v>
      </c>
      <c r="Y233" s="8">
        <f t="shared" si="7"/>
        <v>-5.1586445067990576</v>
      </c>
      <c r="AA233" s="13">
        <v>43737</v>
      </c>
      <c r="AB233" s="8">
        <v>2730.8</v>
      </c>
      <c r="AC233" s="8">
        <f t="shared" si="8"/>
        <v>-107</v>
      </c>
      <c r="AD233" s="8">
        <f t="shared" si="9"/>
        <v>-3.770526464162379</v>
      </c>
      <c r="AF233" s="13">
        <v>43737</v>
      </c>
      <c r="AG233" s="8">
        <v>1386.05</v>
      </c>
      <c r="AH233" s="8">
        <f t="shared" si="10"/>
        <v>69.200000000000045</v>
      </c>
      <c r="AI233" s="8">
        <f t="shared" si="11"/>
        <v>5.2549644986141208</v>
      </c>
      <c r="AK233" s="13">
        <v>43737</v>
      </c>
      <c r="AL233" s="8">
        <v>218.1</v>
      </c>
      <c r="AM233" s="8">
        <f t="shared" si="12"/>
        <v>-9.9500000000000171</v>
      </c>
      <c r="AN233" s="8">
        <f t="shared" si="13"/>
        <v>-4.3630782723087114</v>
      </c>
    </row>
    <row r="234" spans="2:40" x14ac:dyDescent="0.35">
      <c r="B234" s="13">
        <v>43730</v>
      </c>
      <c r="C234" s="8">
        <v>413.7</v>
      </c>
      <c r="D234" s="8">
        <f t="shared" si="0"/>
        <v>-9.1500000000000341</v>
      </c>
      <c r="E234" s="8">
        <f t="shared" si="1"/>
        <v>-2.1638879035118914</v>
      </c>
      <c r="G234" s="16">
        <v>43730</v>
      </c>
      <c r="H234" s="14">
        <v>1637.95</v>
      </c>
      <c r="I234" s="8">
        <v>9.6</v>
      </c>
      <c r="J234" s="8">
        <v>0.58955384280000001</v>
      </c>
      <c r="L234" s="13">
        <v>43730</v>
      </c>
      <c r="M234" s="8">
        <v>1384.2</v>
      </c>
      <c r="N234" s="8">
        <f t="shared" si="2"/>
        <v>21.5</v>
      </c>
      <c r="O234" s="8">
        <f t="shared" si="3"/>
        <v>1.5777500550377925</v>
      </c>
      <c r="Q234" s="13">
        <v>43730</v>
      </c>
      <c r="R234" s="8">
        <v>10219.15</v>
      </c>
      <c r="S234" s="8">
        <f t="shared" si="18"/>
        <v>385.89999999999964</v>
      </c>
      <c r="T234" s="8">
        <f t="shared" si="19"/>
        <v>3.9244400376274338</v>
      </c>
      <c r="V234" s="13">
        <v>43730</v>
      </c>
      <c r="W234" s="8">
        <v>463.3</v>
      </c>
      <c r="X234" s="8">
        <f t="shared" si="6"/>
        <v>-5.6999999999999886</v>
      </c>
      <c r="Y234" s="8">
        <f t="shared" si="7"/>
        <v>-1.2153518123667353</v>
      </c>
      <c r="AA234" s="13">
        <v>43730</v>
      </c>
      <c r="AB234" s="8">
        <v>2837.8</v>
      </c>
      <c r="AC234" s="8">
        <f t="shared" si="8"/>
        <v>106.25</v>
      </c>
      <c r="AD234" s="8">
        <f t="shared" si="9"/>
        <v>3.8897329355128036</v>
      </c>
      <c r="AF234" s="13">
        <v>43730</v>
      </c>
      <c r="AG234" s="8">
        <v>1316.85</v>
      </c>
      <c r="AH234" s="8">
        <f t="shared" si="10"/>
        <v>-7.6000000000001364</v>
      </c>
      <c r="AI234" s="8">
        <f t="shared" si="11"/>
        <v>-0.57382309637963957</v>
      </c>
      <c r="AK234" s="13">
        <v>43730</v>
      </c>
      <c r="AL234" s="8">
        <v>228.05</v>
      </c>
      <c r="AM234" s="8">
        <f t="shared" si="12"/>
        <v>-4.5999999999999943</v>
      </c>
      <c r="AN234" s="8">
        <f t="shared" si="13"/>
        <v>-1.9772189984955917</v>
      </c>
    </row>
    <row r="235" spans="2:40" x14ac:dyDescent="0.35">
      <c r="B235" s="13">
        <v>43723</v>
      </c>
      <c r="C235" s="8">
        <v>422.85</v>
      </c>
      <c r="D235" s="8">
        <f t="shared" si="0"/>
        <v>-2.25</v>
      </c>
      <c r="E235" s="8">
        <f t="shared" si="1"/>
        <v>-0.52928722653493288</v>
      </c>
      <c r="G235" s="16">
        <v>43723</v>
      </c>
      <c r="H235" s="14">
        <v>1628.35</v>
      </c>
      <c r="I235" s="8">
        <v>-9.25</v>
      </c>
      <c r="J235" s="8">
        <v>-0.56485100150000001</v>
      </c>
      <c r="L235" s="13">
        <v>43723</v>
      </c>
      <c r="M235" s="8">
        <v>1362.7</v>
      </c>
      <c r="N235" s="8">
        <f t="shared" si="2"/>
        <v>84.350000000000136</v>
      </c>
      <c r="O235" s="8">
        <f t="shared" si="3"/>
        <v>6.5983494348183322</v>
      </c>
      <c r="Q235" s="13">
        <v>43723</v>
      </c>
      <c r="R235" s="8">
        <v>9833.25</v>
      </c>
      <c r="S235" s="8">
        <f t="shared" si="18"/>
        <v>107</v>
      </c>
      <c r="T235" s="8">
        <f t="shared" si="19"/>
        <v>1.1001156663667908</v>
      </c>
      <c r="V235" s="13">
        <v>43723</v>
      </c>
      <c r="W235" s="8">
        <v>469</v>
      </c>
      <c r="X235" s="8">
        <f t="shared" si="6"/>
        <v>-5.8999999999999773</v>
      </c>
      <c r="Y235" s="8">
        <f t="shared" si="7"/>
        <v>-1.2423668140661144</v>
      </c>
      <c r="AA235" s="13">
        <v>43723</v>
      </c>
      <c r="AB235" s="8">
        <v>2731.55</v>
      </c>
      <c r="AC235" s="8">
        <f t="shared" si="8"/>
        <v>-8.3999999999996362</v>
      </c>
      <c r="AD235" s="8">
        <f t="shared" si="9"/>
        <v>-0.30657493749884623</v>
      </c>
      <c r="AF235" s="13">
        <v>43723</v>
      </c>
      <c r="AG235" s="8">
        <v>1324.45</v>
      </c>
      <c r="AH235" s="8">
        <f t="shared" si="10"/>
        <v>59.5</v>
      </c>
      <c r="AI235" s="8">
        <f t="shared" si="11"/>
        <v>4.7037432309577456</v>
      </c>
      <c r="AK235" s="13">
        <v>43723</v>
      </c>
      <c r="AL235" s="8">
        <v>232.65</v>
      </c>
      <c r="AM235" s="8">
        <f t="shared" si="12"/>
        <v>-3.7999999999999829</v>
      </c>
      <c r="AN235" s="8">
        <f t="shared" si="13"/>
        <v>-1.6071050962148374</v>
      </c>
    </row>
    <row r="236" spans="2:40" x14ac:dyDescent="0.35">
      <c r="B236" s="13">
        <v>43716</v>
      </c>
      <c r="C236" s="8">
        <v>425.1</v>
      </c>
      <c r="D236" s="8">
        <f t="shared" si="0"/>
        <v>-25.299999999999955</v>
      </c>
      <c r="E236" s="8">
        <f t="shared" si="1"/>
        <v>-5.6172291296625128</v>
      </c>
      <c r="G236" s="16">
        <v>43716</v>
      </c>
      <c r="H236" s="14">
        <v>1637.6</v>
      </c>
      <c r="I236" s="8">
        <v>12.2</v>
      </c>
      <c r="J236" s="8">
        <v>0.75058447149999996</v>
      </c>
      <c r="L236" s="13">
        <v>43716</v>
      </c>
      <c r="M236" s="8">
        <v>1278.3499999999999</v>
      </c>
      <c r="N236" s="8">
        <f t="shared" si="2"/>
        <v>63.149999999999864</v>
      </c>
      <c r="O236" s="8">
        <f t="shared" si="3"/>
        <v>5.1966754443712855</v>
      </c>
      <c r="Q236" s="13">
        <v>43716</v>
      </c>
      <c r="R236" s="8">
        <v>9726.25</v>
      </c>
      <c r="S236" s="8">
        <f t="shared" si="18"/>
        <v>577.64999999999964</v>
      </c>
      <c r="T236" s="8">
        <f t="shared" si="19"/>
        <v>6.3140808429705046</v>
      </c>
      <c r="V236" s="13">
        <v>43716</v>
      </c>
      <c r="W236" s="8">
        <v>474.9</v>
      </c>
      <c r="X236" s="8">
        <f t="shared" si="6"/>
        <v>2.4499999999999886</v>
      </c>
      <c r="Y236" s="8">
        <f t="shared" si="7"/>
        <v>0.51857339400994573</v>
      </c>
      <c r="AA236" s="13">
        <v>43716</v>
      </c>
      <c r="AB236" s="8">
        <v>2739.95</v>
      </c>
      <c r="AC236" s="8">
        <f t="shared" si="8"/>
        <v>182.44999999999982</v>
      </c>
      <c r="AD236" s="8">
        <f t="shared" si="9"/>
        <v>7.1339198435972557</v>
      </c>
      <c r="AF236" s="13">
        <v>43716</v>
      </c>
      <c r="AG236" s="8">
        <v>1264.95</v>
      </c>
      <c r="AH236" s="8">
        <f t="shared" si="10"/>
        <v>20.700000000000045</v>
      </c>
      <c r="AI236" s="8">
        <f t="shared" si="11"/>
        <v>1.6636528028933129</v>
      </c>
      <c r="AK236" s="13">
        <v>43716</v>
      </c>
      <c r="AL236" s="8">
        <v>236.45</v>
      </c>
      <c r="AM236" s="8">
        <f t="shared" si="12"/>
        <v>0.84999999999999432</v>
      </c>
      <c r="AN236" s="8">
        <f t="shared" si="13"/>
        <v>0.36078098471986175</v>
      </c>
    </row>
    <row r="237" spans="2:40" x14ac:dyDescent="0.35">
      <c r="B237" s="13">
        <v>43709</v>
      </c>
      <c r="C237" s="8">
        <v>450.4</v>
      </c>
      <c r="D237" s="8">
        <f t="shared" si="0"/>
        <v>22.599999999999966</v>
      </c>
      <c r="E237" s="8">
        <f t="shared" si="1"/>
        <v>5.2828424497428621</v>
      </c>
      <c r="G237" s="16">
        <v>43709</v>
      </c>
      <c r="H237" s="14">
        <v>1625.4</v>
      </c>
      <c r="I237" s="8">
        <v>53.8</v>
      </c>
      <c r="J237" s="8">
        <v>3.4232629170000002</v>
      </c>
      <c r="L237" s="13">
        <v>43709</v>
      </c>
      <c r="M237" s="8">
        <v>1215.2</v>
      </c>
      <c r="N237" s="8">
        <f t="shared" si="2"/>
        <v>4.7000000000000455</v>
      </c>
      <c r="O237" s="8">
        <f t="shared" si="3"/>
        <v>0.38826931020239946</v>
      </c>
      <c r="Q237" s="13">
        <v>43709</v>
      </c>
      <c r="R237" s="8">
        <v>9148.6</v>
      </c>
      <c r="S237" s="8">
        <f t="shared" si="18"/>
        <v>357.75</v>
      </c>
      <c r="T237" s="8">
        <f t="shared" si="19"/>
        <v>4.0695723394211027</v>
      </c>
      <c r="V237" s="13">
        <v>43709</v>
      </c>
      <c r="W237" s="8">
        <v>472.45</v>
      </c>
      <c r="X237" s="8">
        <f t="shared" si="6"/>
        <v>6.5500000000000114</v>
      </c>
      <c r="Y237" s="8">
        <f t="shared" si="7"/>
        <v>1.4058810903627412</v>
      </c>
      <c r="AA237" s="13">
        <v>43709</v>
      </c>
      <c r="AB237" s="8">
        <v>2557.5</v>
      </c>
      <c r="AC237" s="8">
        <f t="shared" si="8"/>
        <v>16.25</v>
      </c>
      <c r="AD237" s="8">
        <f t="shared" si="9"/>
        <v>0.63944909001475647</v>
      </c>
      <c r="AF237" s="13">
        <v>43709</v>
      </c>
      <c r="AG237" s="8">
        <v>1244.25</v>
      </c>
      <c r="AH237" s="8">
        <f t="shared" si="10"/>
        <v>99.950000000000045</v>
      </c>
      <c r="AI237" s="8">
        <f t="shared" si="11"/>
        <v>8.7345975705671624</v>
      </c>
      <c r="AK237" s="13">
        <v>43709</v>
      </c>
      <c r="AL237" s="8">
        <v>235.6</v>
      </c>
      <c r="AM237" s="8">
        <f t="shared" si="12"/>
        <v>11.449999999999989</v>
      </c>
      <c r="AN237" s="8">
        <f t="shared" si="13"/>
        <v>5.1081864822663343</v>
      </c>
    </row>
    <row r="238" spans="2:40" x14ac:dyDescent="0.35">
      <c r="B238" s="13">
        <v>43702</v>
      </c>
      <c r="C238" s="8">
        <v>427.8</v>
      </c>
      <c r="D238" s="8">
        <f t="shared" si="0"/>
        <v>13.100000000000023</v>
      </c>
      <c r="E238" s="8">
        <f t="shared" si="1"/>
        <v>3.158910055461785</v>
      </c>
      <c r="G238" s="16">
        <v>43702</v>
      </c>
      <c r="H238" s="14">
        <v>1571.6</v>
      </c>
      <c r="I238" s="8">
        <v>64.3</v>
      </c>
      <c r="J238" s="8">
        <v>4.2659059250000002</v>
      </c>
      <c r="L238" s="13">
        <v>43702</v>
      </c>
      <c r="M238" s="8">
        <v>1210.5</v>
      </c>
      <c r="N238" s="8">
        <f t="shared" si="2"/>
        <v>-2.75</v>
      </c>
      <c r="O238" s="8">
        <f t="shared" si="3"/>
        <v>-0.2266639192252215</v>
      </c>
      <c r="Q238" s="13">
        <v>43702</v>
      </c>
      <c r="R238" s="8">
        <v>8790.85</v>
      </c>
      <c r="S238" s="8">
        <f t="shared" si="18"/>
        <v>-323.39999999999964</v>
      </c>
      <c r="T238" s="8">
        <f t="shared" si="19"/>
        <v>-3.5482897660257251</v>
      </c>
      <c r="V238" s="13">
        <v>43702</v>
      </c>
      <c r="W238" s="8">
        <v>465.9</v>
      </c>
      <c r="X238" s="8">
        <f t="shared" si="6"/>
        <v>-10.200000000000045</v>
      </c>
      <c r="Y238" s="8">
        <f t="shared" si="7"/>
        <v>-2.1424070573409044</v>
      </c>
      <c r="AA238" s="13">
        <v>43702</v>
      </c>
      <c r="AB238" s="8">
        <v>2541.25</v>
      </c>
      <c r="AC238" s="8">
        <f t="shared" si="8"/>
        <v>48.699999999999818</v>
      </c>
      <c r="AD238" s="8">
        <f t="shared" si="9"/>
        <v>1.953822390724351</v>
      </c>
      <c r="AF238" s="13">
        <v>43702</v>
      </c>
      <c r="AG238" s="8">
        <v>1144.3</v>
      </c>
      <c r="AH238" s="8">
        <f t="shared" si="10"/>
        <v>-25.900000000000091</v>
      </c>
      <c r="AI238" s="8">
        <f t="shared" si="11"/>
        <v>-2.2132968723295239</v>
      </c>
      <c r="AK238" s="13">
        <v>43702</v>
      </c>
      <c r="AL238" s="8">
        <v>224.15</v>
      </c>
      <c r="AM238" s="8">
        <f t="shared" si="12"/>
        <v>-3.8499999999999943</v>
      </c>
      <c r="AN238" s="8">
        <f t="shared" si="13"/>
        <v>-1.6885964912280678</v>
      </c>
    </row>
    <row r="239" spans="2:40" x14ac:dyDescent="0.35">
      <c r="B239" s="13">
        <v>43695</v>
      </c>
      <c r="C239" s="8">
        <v>414.7</v>
      </c>
      <c r="D239" s="8">
        <f t="shared" si="0"/>
        <v>-7.3000000000000114</v>
      </c>
      <c r="E239" s="8">
        <f t="shared" si="1"/>
        <v>-1.7298578199052159</v>
      </c>
      <c r="G239" s="16">
        <v>43695</v>
      </c>
      <c r="H239" s="14">
        <v>1507.3</v>
      </c>
      <c r="I239" s="8">
        <v>-157.65</v>
      </c>
      <c r="J239" s="8">
        <v>-9.4687528150000002</v>
      </c>
      <c r="L239" s="13">
        <v>43695</v>
      </c>
      <c r="M239" s="8">
        <v>1213.25</v>
      </c>
      <c r="N239" s="8">
        <f t="shared" si="2"/>
        <v>4.2000000000000455</v>
      </c>
      <c r="O239" s="8">
        <f t="shared" si="3"/>
        <v>0.34738017451718667</v>
      </c>
      <c r="Q239" s="13">
        <v>43695</v>
      </c>
      <c r="R239" s="8">
        <v>9114.25</v>
      </c>
      <c r="S239" s="8">
        <f t="shared" si="18"/>
        <v>65.399999999999636</v>
      </c>
      <c r="T239" s="8">
        <f t="shared" si="19"/>
        <v>0.7227437740707342</v>
      </c>
      <c r="V239" s="13">
        <v>43695</v>
      </c>
      <c r="W239" s="8">
        <v>476.1</v>
      </c>
      <c r="X239" s="8">
        <f t="shared" si="6"/>
        <v>-8.3999999999999773</v>
      </c>
      <c r="Y239" s="8">
        <f t="shared" si="7"/>
        <v>-1.7337461300309551</v>
      </c>
      <c r="AA239" s="13">
        <v>43695</v>
      </c>
      <c r="AB239" s="8">
        <v>2492.5500000000002</v>
      </c>
      <c r="AC239" s="8">
        <f t="shared" si="8"/>
        <v>-80.899999999999636</v>
      </c>
      <c r="AD239" s="8">
        <f t="shared" si="9"/>
        <v>-3.1436398608871219</v>
      </c>
      <c r="AF239" s="13">
        <v>43695</v>
      </c>
      <c r="AG239" s="8">
        <v>1170.2</v>
      </c>
      <c r="AH239" s="8">
        <f t="shared" si="10"/>
        <v>83.75</v>
      </c>
      <c r="AI239" s="8">
        <f t="shared" si="11"/>
        <v>7.708592203967048</v>
      </c>
      <c r="AK239" s="13">
        <v>43695</v>
      </c>
      <c r="AL239" s="8">
        <v>228</v>
      </c>
      <c r="AM239" s="8">
        <f t="shared" si="12"/>
        <v>-0.90000000000000568</v>
      </c>
      <c r="AN239" s="8">
        <f t="shared" si="13"/>
        <v>-0.39318479685452412</v>
      </c>
    </row>
    <row r="240" spans="2:40" x14ac:dyDescent="0.35">
      <c r="B240" s="13">
        <v>43688</v>
      </c>
      <c r="C240" s="8">
        <v>422</v>
      </c>
      <c r="D240" s="8">
        <f t="shared" si="0"/>
        <v>1.3500000000000227</v>
      </c>
      <c r="E240" s="8">
        <f t="shared" si="1"/>
        <v>0.32093189112088977</v>
      </c>
      <c r="G240" s="16">
        <v>43688</v>
      </c>
      <c r="H240" s="14">
        <v>1664.95</v>
      </c>
      <c r="I240" s="8">
        <v>66.150000000000006</v>
      </c>
      <c r="J240" s="8">
        <v>4.1374781089999999</v>
      </c>
      <c r="L240" s="13">
        <v>43688</v>
      </c>
      <c r="M240" s="8">
        <v>1209.05</v>
      </c>
      <c r="N240" s="8">
        <f t="shared" si="2"/>
        <v>11.099999999999909</v>
      </c>
      <c r="O240" s="8">
        <f t="shared" si="3"/>
        <v>0.92658291247547131</v>
      </c>
      <c r="Q240" s="13">
        <v>43688</v>
      </c>
      <c r="R240" s="8">
        <v>9048.85</v>
      </c>
      <c r="S240" s="8">
        <f t="shared" si="18"/>
        <v>549.55000000000109</v>
      </c>
      <c r="T240" s="8">
        <f t="shared" si="19"/>
        <v>6.4658265974845124</v>
      </c>
      <c r="V240" s="13">
        <v>43688</v>
      </c>
      <c r="W240" s="8">
        <v>484.5</v>
      </c>
      <c r="X240" s="8">
        <f t="shared" si="6"/>
        <v>-31.600000000000023</v>
      </c>
      <c r="Y240" s="8">
        <f t="shared" si="7"/>
        <v>-6.1228444099980663</v>
      </c>
      <c r="AA240" s="13">
        <v>43688</v>
      </c>
      <c r="AB240" s="8">
        <v>2573.4499999999998</v>
      </c>
      <c r="AC240" s="8">
        <f t="shared" si="8"/>
        <v>44.25</v>
      </c>
      <c r="AD240" s="8">
        <f t="shared" si="9"/>
        <v>1.7495650798671518</v>
      </c>
      <c r="AF240" s="13">
        <v>43688</v>
      </c>
      <c r="AG240" s="8">
        <v>1086.45</v>
      </c>
      <c r="AH240" s="8">
        <f t="shared" si="10"/>
        <v>3.1500000000000909</v>
      </c>
      <c r="AI240" s="8">
        <f t="shared" si="11"/>
        <v>0.29077817779009424</v>
      </c>
      <c r="AK240" s="13">
        <v>43688</v>
      </c>
      <c r="AL240" s="8">
        <v>228.9</v>
      </c>
      <c r="AM240" s="8">
        <f t="shared" si="12"/>
        <v>-2.3499999999999943</v>
      </c>
      <c r="AN240" s="8">
        <f t="shared" si="13"/>
        <v>-1.0162162162162138</v>
      </c>
    </row>
    <row r="241" spans="2:40" x14ac:dyDescent="0.35">
      <c r="B241" s="13">
        <v>43681</v>
      </c>
      <c r="C241" s="8">
        <v>420.65</v>
      </c>
      <c r="D241" s="8">
        <f t="shared" si="0"/>
        <v>-19.300000000000011</v>
      </c>
      <c r="E241" s="8">
        <f t="shared" si="1"/>
        <v>-4.3868621434253923</v>
      </c>
      <c r="G241" s="16">
        <v>43681</v>
      </c>
      <c r="H241" s="14">
        <v>1598.8</v>
      </c>
      <c r="I241" s="8">
        <v>-67.900000000000006</v>
      </c>
      <c r="J241" s="8">
        <v>-4.0739185219999996</v>
      </c>
      <c r="L241" s="13">
        <v>43681</v>
      </c>
      <c r="M241" s="8">
        <v>1197.95</v>
      </c>
      <c r="N241" s="8">
        <f t="shared" si="2"/>
        <v>-3.4500000000000455</v>
      </c>
      <c r="O241" s="8">
        <f t="shared" si="3"/>
        <v>-0.28716497419677423</v>
      </c>
      <c r="Q241" s="13">
        <v>43681</v>
      </c>
      <c r="R241" s="8">
        <v>8499.2999999999993</v>
      </c>
      <c r="S241" s="8">
        <f t="shared" si="18"/>
        <v>-72.400000000001455</v>
      </c>
      <c r="T241" s="8">
        <f t="shared" si="19"/>
        <v>-0.84463991973589192</v>
      </c>
      <c r="V241" s="13">
        <v>43681</v>
      </c>
      <c r="W241" s="8">
        <v>516.1</v>
      </c>
      <c r="X241" s="8">
        <f t="shared" si="6"/>
        <v>-16</v>
      </c>
      <c r="Y241" s="8">
        <f t="shared" si="7"/>
        <v>-3.0069535801541063</v>
      </c>
      <c r="AA241" s="13">
        <v>43681</v>
      </c>
      <c r="AB241" s="8">
        <v>2529.1999999999998</v>
      </c>
      <c r="AC241" s="8">
        <f t="shared" si="8"/>
        <v>-175.75</v>
      </c>
      <c r="AD241" s="8">
        <f t="shared" si="9"/>
        <v>-6.4973474555906767</v>
      </c>
      <c r="AF241" s="13">
        <v>43681</v>
      </c>
      <c r="AG241" s="8">
        <v>1083.3</v>
      </c>
      <c r="AH241" s="8">
        <f t="shared" si="10"/>
        <v>-38.799999999999955</v>
      </c>
      <c r="AI241" s="8">
        <f t="shared" si="11"/>
        <v>-3.4578023349077585</v>
      </c>
      <c r="AK241" s="13">
        <v>43681</v>
      </c>
      <c r="AL241" s="8">
        <v>231.25</v>
      </c>
      <c r="AM241" s="8">
        <f t="shared" si="12"/>
        <v>-10.599999999999994</v>
      </c>
      <c r="AN241" s="8">
        <f t="shared" si="13"/>
        <v>-4.3828819516229052</v>
      </c>
    </row>
    <row r="242" spans="2:40" x14ac:dyDescent="0.35">
      <c r="B242" s="13">
        <v>43674</v>
      </c>
      <c r="C242" s="8">
        <v>439.95</v>
      </c>
      <c r="D242" s="8">
        <f t="shared" si="0"/>
        <v>18.599999999999966</v>
      </c>
      <c r="E242" s="8">
        <f t="shared" si="1"/>
        <v>4.4143823424706214</v>
      </c>
      <c r="G242" s="16">
        <v>43674</v>
      </c>
      <c r="H242" s="14">
        <v>1666.7</v>
      </c>
      <c r="I242" s="8">
        <v>42.3</v>
      </c>
      <c r="J242" s="8">
        <v>2.6040384140000001</v>
      </c>
      <c r="L242" s="13">
        <v>43674</v>
      </c>
      <c r="M242" s="8">
        <v>1201.4000000000001</v>
      </c>
      <c r="N242" s="8">
        <f t="shared" si="2"/>
        <v>27.450000000000045</v>
      </c>
      <c r="O242" s="8">
        <f t="shared" si="3"/>
        <v>2.3382597214532175</v>
      </c>
      <c r="Q242" s="13">
        <v>43674</v>
      </c>
      <c r="R242" s="8">
        <v>8571.7000000000007</v>
      </c>
      <c r="S242" s="8">
        <f t="shared" si="18"/>
        <v>-1.0999999999985448</v>
      </c>
      <c r="T242" s="8">
        <f t="shared" si="19"/>
        <v>-1.2831280328463803E-2</v>
      </c>
      <c r="V242" s="13">
        <v>43674</v>
      </c>
      <c r="W242" s="8">
        <v>532.1</v>
      </c>
      <c r="X242" s="8">
        <f t="shared" si="6"/>
        <v>-4.6000000000000227</v>
      </c>
      <c r="Y242" s="8">
        <f t="shared" si="7"/>
        <v>-0.8570896217626276</v>
      </c>
      <c r="AA242" s="13">
        <v>43674</v>
      </c>
      <c r="AB242" s="8">
        <v>2704.95</v>
      </c>
      <c r="AC242" s="8">
        <f t="shared" si="8"/>
        <v>91.799999999999727</v>
      </c>
      <c r="AD242" s="8">
        <f t="shared" si="9"/>
        <v>3.5130015498536142</v>
      </c>
      <c r="AF242" s="13">
        <v>43674</v>
      </c>
      <c r="AG242" s="8">
        <v>1122.0999999999999</v>
      </c>
      <c r="AH242" s="8">
        <f t="shared" si="10"/>
        <v>48.25</v>
      </c>
      <c r="AI242" s="8">
        <f t="shared" si="11"/>
        <v>4.4931787493597808</v>
      </c>
      <c r="AK242" s="13">
        <v>43674</v>
      </c>
      <c r="AL242" s="8">
        <v>241.85</v>
      </c>
      <c r="AM242" s="8">
        <f t="shared" si="12"/>
        <v>1.5499999999999829</v>
      </c>
      <c r="AN242" s="8">
        <f t="shared" si="13"/>
        <v>0.64502704952142442</v>
      </c>
    </row>
    <row r="243" spans="2:40" x14ac:dyDescent="0.35">
      <c r="B243" s="13">
        <v>43667</v>
      </c>
      <c r="C243" s="8">
        <v>421.35</v>
      </c>
      <c r="D243" s="8">
        <f t="shared" si="0"/>
        <v>13.650000000000034</v>
      </c>
      <c r="E243" s="8">
        <f t="shared" si="1"/>
        <v>3.3480500367917672</v>
      </c>
      <c r="G243" s="16">
        <v>43667</v>
      </c>
      <c r="H243" s="14">
        <v>1624.4</v>
      </c>
      <c r="I243" s="8">
        <v>11.25</v>
      </c>
      <c r="J243" s="8">
        <v>0.69739329880000001</v>
      </c>
      <c r="L243" s="13">
        <v>43667</v>
      </c>
      <c r="M243" s="8">
        <v>1173.95</v>
      </c>
      <c r="N243" s="8">
        <f t="shared" si="2"/>
        <v>24.25</v>
      </c>
      <c r="O243" s="8">
        <f t="shared" si="3"/>
        <v>2.1092458902322346</v>
      </c>
      <c r="Q243" s="13">
        <v>43667</v>
      </c>
      <c r="R243" s="8">
        <v>8572.7999999999993</v>
      </c>
      <c r="S243" s="8">
        <f t="shared" si="18"/>
        <v>-324.45000000000073</v>
      </c>
      <c r="T243" s="8">
        <f t="shared" si="19"/>
        <v>-3.64663238641154</v>
      </c>
      <c r="V243" s="13">
        <v>43667</v>
      </c>
      <c r="W243" s="8">
        <v>536.70000000000005</v>
      </c>
      <c r="X243" s="8">
        <f t="shared" si="6"/>
        <v>-20.099999999999909</v>
      </c>
      <c r="Y243" s="8">
        <f t="shared" si="7"/>
        <v>-3.6099137931034324</v>
      </c>
      <c r="AA243" s="13">
        <v>43667</v>
      </c>
      <c r="AB243" s="8">
        <v>2613.15</v>
      </c>
      <c r="AC243" s="8">
        <f t="shared" si="8"/>
        <v>-15.449999999999818</v>
      </c>
      <c r="AD243" s="8">
        <f t="shared" si="9"/>
        <v>-0.58776535037661948</v>
      </c>
      <c r="AF243" s="13">
        <v>43667</v>
      </c>
      <c r="AG243" s="8">
        <v>1073.8499999999999</v>
      </c>
      <c r="AH243" s="8">
        <f t="shared" si="10"/>
        <v>-1.3000000000001819</v>
      </c>
      <c r="AI243" s="8">
        <f t="shared" si="11"/>
        <v>-0.12091336092639927</v>
      </c>
      <c r="AK243" s="13">
        <v>43667</v>
      </c>
      <c r="AL243" s="8">
        <v>240.3</v>
      </c>
      <c r="AM243" s="8">
        <f t="shared" si="12"/>
        <v>-13.299999999999983</v>
      </c>
      <c r="AN243" s="8">
        <f t="shared" si="13"/>
        <v>-5.2444794952681315</v>
      </c>
    </row>
    <row r="244" spans="2:40" x14ac:dyDescent="0.35">
      <c r="B244" s="13">
        <v>43660</v>
      </c>
      <c r="C244" s="8">
        <v>407.7</v>
      </c>
      <c r="D244" s="8">
        <f t="shared" si="0"/>
        <v>32.449999999999989</v>
      </c>
      <c r="E244" s="8">
        <f t="shared" si="1"/>
        <v>8.6475682878081255</v>
      </c>
      <c r="G244" s="16">
        <v>43660</v>
      </c>
      <c r="H244" s="14">
        <v>1613.15</v>
      </c>
      <c r="I244" s="8">
        <v>2.35</v>
      </c>
      <c r="J244" s="8">
        <v>0.1458902409</v>
      </c>
      <c r="L244" s="13">
        <v>43660</v>
      </c>
      <c r="M244" s="8">
        <v>1149.7</v>
      </c>
      <c r="N244" s="8">
        <f t="shared" si="2"/>
        <v>-31.649999999999864</v>
      </c>
      <c r="O244" s="8">
        <f t="shared" si="3"/>
        <v>-2.6791382740085381</v>
      </c>
      <c r="Q244" s="13">
        <v>43660</v>
      </c>
      <c r="R244" s="8">
        <v>8897.25</v>
      </c>
      <c r="S244" s="8">
        <f t="shared" si="18"/>
        <v>5.25</v>
      </c>
      <c r="T244" s="8">
        <f t="shared" si="19"/>
        <v>5.9041835357624833E-2</v>
      </c>
      <c r="V244" s="13">
        <v>43660</v>
      </c>
      <c r="W244" s="8">
        <v>556.79999999999995</v>
      </c>
      <c r="X244" s="8">
        <f t="shared" si="6"/>
        <v>6.7999999999999545</v>
      </c>
      <c r="Y244" s="8">
        <f t="shared" si="7"/>
        <v>1.2363636363636281</v>
      </c>
      <c r="AA244" s="13">
        <v>43660</v>
      </c>
      <c r="AB244" s="8">
        <v>2628.6</v>
      </c>
      <c r="AC244" s="8">
        <f t="shared" si="8"/>
        <v>27.650000000000091</v>
      </c>
      <c r="AD244" s="8">
        <f t="shared" si="9"/>
        <v>1.0630731079028852</v>
      </c>
      <c r="AF244" s="13">
        <v>43660</v>
      </c>
      <c r="AG244" s="8">
        <v>1075.1500000000001</v>
      </c>
      <c r="AH244" s="8">
        <f t="shared" si="10"/>
        <v>-3.1999999999998181</v>
      </c>
      <c r="AI244" s="8">
        <f t="shared" si="11"/>
        <v>-0.29674966383825457</v>
      </c>
      <c r="AK244" s="13">
        <v>43660</v>
      </c>
      <c r="AL244" s="8">
        <v>253.6</v>
      </c>
      <c r="AM244" s="8">
        <f t="shared" si="12"/>
        <v>13.5</v>
      </c>
      <c r="AN244" s="8">
        <f t="shared" si="13"/>
        <v>5.6226572261557681</v>
      </c>
    </row>
    <row r="245" spans="2:40" x14ac:dyDescent="0.35">
      <c r="B245" s="13">
        <v>43653</v>
      </c>
      <c r="C245" s="8">
        <v>375.25</v>
      </c>
      <c r="D245" s="8">
        <f t="shared" si="0"/>
        <v>-25.699999999999989</v>
      </c>
      <c r="E245" s="8">
        <f t="shared" si="1"/>
        <v>-6.4097767801471486</v>
      </c>
      <c r="G245" s="16">
        <v>43653</v>
      </c>
      <c r="H245" s="14">
        <v>1610.8</v>
      </c>
      <c r="I245" s="8">
        <v>13.85</v>
      </c>
      <c r="J245" s="8">
        <v>0.86727824919999996</v>
      </c>
      <c r="L245" s="13">
        <v>43653</v>
      </c>
      <c r="M245" s="8">
        <v>1181.3499999999999</v>
      </c>
      <c r="N245" s="8">
        <f t="shared" si="2"/>
        <v>-18.600000000000136</v>
      </c>
      <c r="O245" s="8">
        <f t="shared" si="3"/>
        <v>-1.5500645860244291</v>
      </c>
      <c r="Q245" s="13">
        <v>43653</v>
      </c>
      <c r="R245" s="8">
        <v>8892</v>
      </c>
      <c r="S245" s="8">
        <f t="shared" si="18"/>
        <v>4.0499999999992724</v>
      </c>
      <c r="T245" s="8">
        <f t="shared" si="19"/>
        <v>4.5567313047432445E-2</v>
      </c>
      <c r="V245" s="13">
        <v>43653</v>
      </c>
      <c r="W245" s="8">
        <v>550</v>
      </c>
      <c r="X245" s="8">
        <f t="shared" si="6"/>
        <v>-3.4500000000000455</v>
      </c>
      <c r="Y245" s="8">
        <f t="shared" si="7"/>
        <v>-0.62336254404192704</v>
      </c>
      <c r="AA245" s="13">
        <v>43653</v>
      </c>
      <c r="AB245" s="8">
        <v>2600.9499999999998</v>
      </c>
      <c r="AC245" s="8">
        <f t="shared" si="8"/>
        <v>50.5</v>
      </c>
      <c r="AD245" s="8">
        <f t="shared" si="9"/>
        <v>1.9800427375561176</v>
      </c>
      <c r="AF245" s="13">
        <v>43653</v>
      </c>
      <c r="AG245" s="8">
        <v>1078.3499999999999</v>
      </c>
      <c r="AH245" s="8">
        <f t="shared" si="10"/>
        <v>8.6499999999998636</v>
      </c>
      <c r="AI245" s="8">
        <f t="shared" si="11"/>
        <v>0.80863793586985722</v>
      </c>
      <c r="AK245" s="13">
        <v>43653</v>
      </c>
      <c r="AL245" s="8">
        <v>240.1</v>
      </c>
      <c r="AM245" s="8">
        <f t="shared" si="12"/>
        <v>-10.450000000000017</v>
      </c>
      <c r="AN245" s="8">
        <f t="shared" si="13"/>
        <v>-4.170824186789071</v>
      </c>
    </row>
    <row r="246" spans="2:40" x14ac:dyDescent="0.35">
      <c r="B246" s="13">
        <v>43646</v>
      </c>
      <c r="C246" s="8">
        <v>400.95</v>
      </c>
      <c r="D246" s="8">
        <f t="shared" si="0"/>
        <v>18.149999999999977</v>
      </c>
      <c r="E246" s="8">
        <f t="shared" si="1"/>
        <v>4.7413793103448212</v>
      </c>
      <c r="G246" s="16">
        <v>43646</v>
      </c>
      <c r="H246" s="14">
        <v>1596.95</v>
      </c>
      <c r="I246" s="8">
        <v>51.2</v>
      </c>
      <c r="J246" s="8">
        <v>3.3123079409999998</v>
      </c>
      <c r="L246" s="13">
        <v>43646</v>
      </c>
      <c r="M246" s="8">
        <v>1199.95</v>
      </c>
      <c r="N246" s="8">
        <f t="shared" si="2"/>
        <v>-28.349999999999909</v>
      </c>
      <c r="O246" s="8">
        <f t="shared" si="3"/>
        <v>-2.3080680615484743</v>
      </c>
      <c r="Q246" s="13">
        <v>43646</v>
      </c>
      <c r="R246" s="8">
        <v>8887.9500000000007</v>
      </c>
      <c r="S246" s="8">
        <f t="shared" si="18"/>
        <v>383.80000000000109</v>
      </c>
      <c r="T246" s="8">
        <f t="shared" si="19"/>
        <v>4.5130906674976465</v>
      </c>
      <c r="V246" s="13">
        <v>43646</v>
      </c>
      <c r="W246" s="8">
        <v>553.45000000000005</v>
      </c>
      <c r="X246" s="8">
        <f t="shared" si="6"/>
        <v>1.9000000000000909</v>
      </c>
      <c r="Y246" s="8">
        <f t="shared" si="7"/>
        <v>0.34448372767656443</v>
      </c>
      <c r="AA246" s="13">
        <v>43646</v>
      </c>
      <c r="AB246" s="8">
        <v>2550.4499999999998</v>
      </c>
      <c r="AC246" s="8">
        <f t="shared" si="8"/>
        <v>-1.1000000000003638</v>
      </c>
      <c r="AD246" s="8">
        <f t="shared" si="9"/>
        <v>-4.311105014600395E-2</v>
      </c>
      <c r="AF246" s="13">
        <v>43646</v>
      </c>
      <c r="AG246" s="8">
        <v>1069.7</v>
      </c>
      <c r="AH246" s="8">
        <f t="shared" si="10"/>
        <v>-92.599999999999909</v>
      </c>
      <c r="AI246" s="8">
        <f t="shared" si="11"/>
        <v>-7.9669620579884635</v>
      </c>
      <c r="AK246" s="13">
        <v>43646</v>
      </c>
      <c r="AL246" s="8">
        <v>250.55</v>
      </c>
      <c r="AM246" s="8">
        <f t="shared" si="12"/>
        <v>1</v>
      </c>
      <c r="AN246" s="8">
        <f t="shared" si="13"/>
        <v>0.40072129833700659</v>
      </c>
    </row>
    <row r="247" spans="2:40" x14ac:dyDescent="0.35">
      <c r="B247" s="13">
        <v>43639</v>
      </c>
      <c r="C247" s="8">
        <v>382.8</v>
      </c>
      <c r="D247" s="8">
        <f t="shared" si="0"/>
        <v>-9.75</v>
      </c>
      <c r="E247" s="8">
        <f t="shared" si="1"/>
        <v>-2.4837600305693543</v>
      </c>
      <c r="G247" s="16">
        <v>43639</v>
      </c>
      <c r="H247" s="14">
        <v>1545.75</v>
      </c>
      <c r="I247" s="8">
        <v>23.45</v>
      </c>
      <c r="J247" s="8">
        <v>1.540432241</v>
      </c>
      <c r="L247" s="13">
        <v>43639</v>
      </c>
      <c r="M247" s="8">
        <v>1228.3</v>
      </c>
      <c r="N247" s="8">
        <f t="shared" si="2"/>
        <v>-34.75</v>
      </c>
      <c r="O247" s="8">
        <f t="shared" si="3"/>
        <v>-2.7512766715490282</v>
      </c>
      <c r="Q247" s="13">
        <v>43639</v>
      </c>
      <c r="R247" s="8">
        <v>8504.15</v>
      </c>
      <c r="S247" s="8">
        <f t="shared" si="18"/>
        <v>-102.55000000000109</v>
      </c>
      <c r="T247" s="8">
        <f t="shared" si="19"/>
        <v>-1.1915135882510264</v>
      </c>
      <c r="V247" s="13">
        <v>43639</v>
      </c>
      <c r="W247" s="8">
        <v>551.54999999999995</v>
      </c>
      <c r="X247" s="8">
        <f t="shared" si="6"/>
        <v>-4.0500000000000682</v>
      </c>
      <c r="Y247" s="8">
        <f t="shared" si="7"/>
        <v>-0.72894168466523901</v>
      </c>
      <c r="AA247" s="13">
        <v>43639</v>
      </c>
      <c r="AB247" s="8">
        <v>2551.5500000000002</v>
      </c>
      <c r="AC247" s="8">
        <f t="shared" si="8"/>
        <v>-13.599999999999909</v>
      </c>
      <c r="AD247" s="8">
        <f t="shared" si="9"/>
        <v>-0.53018342007289665</v>
      </c>
      <c r="AF247" s="13">
        <v>43639</v>
      </c>
      <c r="AG247" s="8">
        <v>1162.3</v>
      </c>
      <c r="AH247" s="8">
        <f t="shared" si="10"/>
        <v>79</v>
      </c>
      <c r="AI247" s="8">
        <f t="shared" si="11"/>
        <v>7.2925320779100895</v>
      </c>
      <c r="AK247" s="13">
        <v>43639</v>
      </c>
      <c r="AL247" s="8">
        <v>249.55</v>
      </c>
      <c r="AM247" s="8">
        <f t="shared" si="12"/>
        <v>1.25</v>
      </c>
      <c r="AN247" s="8">
        <f t="shared" si="13"/>
        <v>0.5034232782923882</v>
      </c>
    </row>
    <row r="248" spans="2:40" x14ac:dyDescent="0.35">
      <c r="B248" s="13">
        <v>43632</v>
      </c>
      <c r="C248" s="8">
        <v>392.55</v>
      </c>
      <c r="D248" s="8">
        <f t="shared" si="0"/>
        <v>-6.6999999999999886</v>
      </c>
      <c r="E248" s="8">
        <f t="shared" si="1"/>
        <v>-1.6781465247338732</v>
      </c>
      <c r="G248" s="16">
        <v>43632</v>
      </c>
      <c r="H248" s="14">
        <v>1522.3</v>
      </c>
      <c r="I248" s="8">
        <v>-43.95</v>
      </c>
      <c r="J248" s="8">
        <v>-2.806065443</v>
      </c>
      <c r="L248" s="13">
        <v>43632</v>
      </c>
      <c r="M248" s="8">
        <v>1263.05</v>
      </c>
      <c r="N248" s="8">
        <f t="shared" si="2"/>
        <v>-13.700000000000045</v>
      </c>
      <c r="O248" s="8">
        <f t="shared" si="3"/>
        <v>-1.0730370080282001</v>
      </c>
      <c r="Q248" s="13">
        <v>43632</v>
      </c>
      <c r="R248" s="8">
        <v>8606.7000000000007</v>
      </c>
      <c r="S248" s="8">
        <f t="shared" si="18"/>
        <v>641.35000000000036</v>
      </c>
      <c r="T248" s="8">
        <f t="shared" si="19"/>
        <v>8.051749138455941</v>
      </c>
      <c r="V248" s="13">
        <v>43632</v>
      </c>
      <c r="W248" s="8">
        <v>555.6</v>
      </c>
      <c r="X248" s="8">
        <f t="shared" si="6"/>
        <v>6.1000000000000227</v>
      </c>
      <c r="Y248" s="8">
        <f t="shared" si="7"/>
        <v>1.1101000909918148</v>
      </c>
      <c r="AA248" s="13">
        <v>43632</v>
      </c>
      <c r="AB248" s="8">
        <v>2565.15</v>
      </c>
      <c r="AC248" s="8">
        <f t="shared" si="8"/>
        <v>-15.549999999999727</v>
      </c>
      <c r="AD248" s="8">
        <f t="shared" si="9"/>
        <v>-0.60254969581895335</v>
      </c>
      <c r="AF248" s="13">
        <v>43632</v>
      </c>
      <c r="AG248" s="8">
        <v>1083.3</v>
      </c>
      <c r="AH248" s="8">
        <f t="shared" si="10"/>
        <v>51.299999999999955</v>
      </c>
      <c r="AI248" s="8">
        <f t="shared" si="11"/>
        <v>4.9709302325581355</v>
      </c>
      <c r="AK248" s="13">
        <v>43632</v>
      </c>
      <c r="AL248" s="8">
        <v>248.3</v>
      </c>
      <c r="AM248" s="8">
        <f t="shared" si="12"/>
        <v>-16.129999999999995</v>
      </c>
      <c r="AN248" s="8">
        <f t="shared" si="13"/>
        <v>-6.0999130204590992</v>
      </c>
    </row>
    <row r="249" spans="2:40" x14ac:dyDescent="0.35">
      <c r="B249" s="13">
        <v>43625</v>
      </c>
      <c r="C249" s="8">
        <v>399.25</v>
      </c>
      <c r="D249" s="8">
        <f t="shared" si="0"/>
        <v>-10.600000000000023</v>
      </c>
      <c r="E249" s="8">
        <f t="shared" si="1"/>
        <v>-2.586312065389782</v>
      </c>
      <c r="G249" s="16">
        <v>43625</v>
      </c>
      <c r="H249" s="14">
        <v>1566.25</v>
      </c>
      <c r="I249" s="8">
        <v>-26.05</v>
      </c>
      <c r="J249" s="8">
        <v>-1.6359982420000001</v>
      </c>
      <c r="L249" s="13">
        <v>43625</v>
      </c>
      <c r="M249" s="8">
        <v>1276.75</v>
      </c>
      <c r="N249" s="8">
        <f t="shared" si="2"/>
        <v>11.75</v>
      </c>
      <c r="O249" s="8">
        <f t="shared" si="3"/>
        <v>0.92885375494071143</v>
      </c>
      <c r="Q249" s="13">
        <v>43625</v>
      </c>
      <c r="R249" s="8">
        <v>7965.35</v>
      </c>
      <c r="S249" s="8">
        <f t="shared" si="18"/>
        <v>187.80000000000018</v>
      </c>
      <c r="T249" s="8">
        <f t="shared" si="19"/>
        <v>2.4146421430913358</v>
      </c>
      <c r="V249" s="13">
        <v>43625</v>
      </c>
      <c r="W249" s="8">
        <v>549.5</v>
      </c>
      <c r="X249" s="8">
        <f t="shared" si="6"/>
        <v>-9.3500000000000227</v>
      </c>
      <c r="Y249" s="8">
        <f t="shared" si="7"/>
        <v>-1.6730786436431999</v>
      </c>
      <c r="AA249" s="13">
        <v>43625</v>
      </c>
      <c r="AB249" s="8">
        <v>2580.6999999999998</v>
      </c>
      <c r="AC249" s="8">
        <f t="shared" si="8"/>
        <v>-97.650000000000091</v>
      </c>
      <c r="AD249" s="8">
        <f t="shared" si="9"/>
        <v>-3.6459013945152834</v>
      </c>
      <c r="AF249" s="13">
        <v>43625</v>
      </c>
      <c r="AG249" s="8">
        <v>1032</v>
      </c>
      <c r="AH249" s="8">
        <f t="shared" si="10"/>
        <v>-5.6500000000000909</v>
      </c>
      <c r="AI249" s="8">
        <f t="shared" si="11"/>
        <v>-0.54449959042067075</v>
      </c>
      <c r="AK249" s="13">
        <v>43625</v>
      </c>
      <c r="AL249" s="8">
        <v>264.43</v>
      </c>
      <c r="AM249" s="8">
        <f t="shared" si="12"/>
        <v>-6.5199999999999818</v>
      </c>
      <c r="AN249" s="8">
        <f t="shared" si="13"/>
        <v>-2.4063480346927411</v>
      </c>
    </row>
    <row r="250" spans="2:40" x14ac:dyDescent="0.35">
      <c r="B250" s="13">
        <v>43618</v>
      </c>
      <c r="C250" s="8">
        <v>409.85</v>
      </c>
      <c r="D250" s="8">
        <f t="shared" si="0"/>
        <v>-5.8999999999999773</v>
      </c>
      <c r="E250" s="8">
        <f t="shared" si="1"/>
        <v>-1.4191220685508064</v>
      </c>
      <c r="G250" s="16">
        <v>43618</v>
      </c>
      <c r="H250" s="14">
        <v>1592.3</v>
      </c>
      <c r="I250" s="8">
        <v>-173.35</v>
      </c>
      <c r="J250" s="8">
        <v>-9.8179140829999998</v>
      </c>
      <c r="L250" s="13">
        <v>43618</v>
      </c>
      <c r="M250" s="8">
        <v>1265</v>
      </c>
      <c r="N250" s="8">
        <f t="shared" si="2"/>
        <v>-14.650000000000091</v>
      </c>
      <c r="O250" s="8">
        <f t="shared" si="3"/>
        <v>-1.1448442933614731</v>
      </c>
      <c r="Q250" s="13">
        <v>43618</v>
      </c>
      <c r="R250" s="8">
        <v>7777.55</v>
      </c>
      <c r="S250" s="8">
        <f t="shared" si="18"/>
        <v>-131.59999999999945</v>
      </c>
      <c r="T250" s="8">
        <f t="shared" si="19"/>
        <v>-1.6638956145729877</v>
      </c>
      <c r="V250" s="13">
        <v>43618</v>
      </c>
      <c r="W250" s="8">
        <v>558.85</v>
      </c>
      <c r="X250" s="8">
        <f t="shared" si="6"/>
        <v>-11.75</v>
      </c>
      <c r="Y250" s="8">
        <f t="shared" si="7"/>
        <v>-2.0592358920434628</v>
      </c>
      <c r="AA250" s="13">
        <v>43618</v>
      </c>
      <c r="AB250" s="8">
        <v>2678.35</v>
      </c>
      <c r="AC250" s="8">
        <f t="shared" si="8"/>
        <v>14.449999999999818</v>
      </c>
      <c r="AD250" s="8">
        <f t="shared" si="9"/>
        <v>0.54243777919590896</v>
      </c>
      <c r="AF250" s="13">
        <v>43618</v>
      </c>
      <c r="AG250" s="8">
        <v>1037.6500000000001</v>
      </c>
      <c r="AH250" s="8">
        <f t="shared" si="10"/>
        <v>-0.79999999999995453</v>
      </c>
      <c r="AI250" s="8">
        <f t="shared" si="11"/>
        <v>-7.7037893013621697E-2</v>
      </c>
      <c r="AK250" s="13">
        <v>43618</v>
      </c>
      <c r="AL250" s="8">
        <v>270.95</v>
      </c>
      <c r="AM250" s="8">
        <f t="shared" si="12"/>
        <v>3.6499999999999773</v>
      </c>
      <c r="AN250" s="8">
        <f t="shared" si="13"/>
        <v>1.365506921062468</v>
      </c>
    </row>
    <row r="251" spans="2:40" x14ac:dyDescent="0.35">
      <c r="B251" s="13">
        <v>43611</v>
      </c>
      <c r="C251" s="8">
        <v>415.75</v>
      </c>
      <c r="D251" s="8">
        <f t="shared" si="0"/>
        <v>6.6499999999999773</v>
      </c>
      <c r="E251" s="8">
        <f t="shared" si="1"/>
        <v>1.6255194329014855</v>
      </c>
      <c r="G251" s="16">
        <v>43611</v>
      </c>
      <c r="H251" s="14">
        <v>1765.65</v>
      </c>
      <c r="I251" s="8">
        <v>132.94999999999999</v>
      </c>
      <c r="J251" s="8">
        <v>8.1429533900000006</v>
      </c>
      <c r="L251" s="13">
        <v>43611</v>
      </c>
      <c r="M251" s="8">
        <v>1279.6500000000001</v>
      </c>
      <c r="N251" s="8">
        <f t="shared" si="2"/>
        <v>1.4500000000000455</v>
      </c>
      <c r="O251" s="8">
        <f t="shared" si="3"/>
        <v>0.11344077609138205</v>
      </c>
      <c r="Q251" s="13">
        <v>43611</v>
      </c>
      <c r="R251" s="8">
        <v>7909.15</v>
      </c>
      <c r="S251" s="8">
        <f t="shared" si="18"/>
        <v>507.44999999999982</v>
      </c>
      <c r="T251" s="8">
        <f t="shared" si="19"/>
        <v>6.8558574381560975</v>
      </c>
      <c r="V251" s="13">
        <v>43611</v>
      </c>
      <c r="W251" s="8">
        <v>570.6</v>
      </c>
      <c r="X251" s="8">
        <f t="shared" si="6"/>
        <v>26.450000000000045</v>
      </c>
      <c r="Y251" s="8">
        <f t="shared" si="7"/>
        <v>4.8607920610125968</v>
      </c>
      <c r="AA251" s="13">
        <v>43611</v>
      </c>
      <c r="AB251" s="8">
        <v>2663.9</v>
      </c>
      <c r="AC251" s="8">
        <f t="shared" si="8"/>
        <v>-81.099999999999909</v>
      </c>
      <c r="AD251" s="8">
        <f t="shared" si="9"/>
        <v>-2.9544626593806886</v>
      </c>
      <c r="AF251" s="13">
        <v>43611</v>
      </c>
      <c r="AG251" s="8">
        <v>1038.45</v>
      </c>
      <c r="AH251" s="8">
        <f t="shared" si="10"/>
        <v>-26.899999999999864</v>
      </c>
      <c r="AI251" s="8">
        <f t="shared" si="11"/>
        <v>-2.5249917867367406</v>
      </c>
      <c r="AK251" s="13">
        <v>43611</v>
      </c>
      <c r="AL251" s="8">
        <v>267.3</v>
      </c>
      <c r="AM251" s="8">
        <f t="shared" si="12"/>
        <v>6.9200000000000159</v>
      </c>
      <c r="AN251" s="8">
        <f t="shared" si="13"/>
        <v>2.6576541977110439</v>
      </c>
    </row>
    <row r="252" spans="2:40" x14ac:dyDescent="0.35">
      <c r="B252" s="13">
        <v>43604</v>
      </c>
      <c r="C252" s="8">
        <v>409.1</v>
      </c>
      <c r="D252" s="8">
        <f t="shared" si="0"/>
        <v>-28.649999999999977</v>
      </c>
      <c r="E252" s="8">
        <f t="shared" si="1"/>
        <v>-6.5448315248429418</v>
      </c>
      <c r="G252" s="16">
        <v>43604</v>
      </c>
      <c r="H252" s="14">
        <v>1632.7</v>
      </c>
      <c r="I252" s="8">
        <v>-17.649999999999999</v>
      </c>
      <c r="J252" s="8">
        <v>-1.0694701120000001</v>
      </c>
      <c r="L252" s="13">
        <v>43604</v>
      </c>
      <c r="M252" s="8">
        <v>1278.2</v>
      </c>
      <c r="N252" s="8">
        <f t="shared" si="2"/>
        <v>3.3500000000001364</v>
      </c>
      <c r="O252" s="8">
        <f t="shared" si="3"/>
        <v>0.26277601286426927</v>
      </c>
      <c r="Q252" s="13">
        <v>43604</v>
      </c>
      <c r="R252" s="8">
        <v>7401.7</v>
      </c>
      <c r="S252" s="8">
        <f t="shared" si="18"/>
        <v>125.69999999999982</v>
      </c>
      <c r="T252" s="8">
        <f t="shared" si="19"/>
        <v>1.7275975810885076</v>
      </c>
      <c r="V252" s="13">
        <v>43604</v>
      </c>
      <c r="W252" s="8">
        <v>544.15</v>
      </c>
      <c r="X252" s="8">
        <f t="shared" si="6"/>
        <v>-11.399999999999977</v>
      </c>
      <c r="Y252" s="8">
        <f t="shared" si="7"/>
        <v>-2.0520205202051982</v>
      </c>
      <c r="AA252" s="13">
        <v>43604</v>
      </c>
      <c r="AB252" s="8">
        <v>2745</v>
      </c>
      <c r="AC252" s="8">
        <f t="shared" si="8"/>
        <v>-131.40000000000009</v>
      </c>
      <c r="AD252" s="8">
        <f t="shared" si="9"/>
        <v>-4.568210262828539</v>
      </c>
      <c r="AF252" s="13">
        <v>43604</v>
      </c>
      <c r="AG252" s="8">
        <v>1065.3499999999999</v>
      </c>
      <c r="AH252" s="8">
        <f t="shared" si="10"/>
        <v>84.699999999999932</v>
      </c>
      <c r="AI252" s="8">
        <f t="shared" si="11"/>
        <v>8.6371284352215287</v>
      </c>
      <c r="AK252" s="13">
        <v>43604</v>
      </c>
      <c r="AL252" s="8">
        <v>260.38</v>
      </c>
      <c r="AM252" s="8">
        <f t="shared" si="12"/>
        <v>-9.1000000000000227</v>
      </c>
      <c r="AN252" s="8">
        <f t="shared" si="13"/>
        <v>-3.3768739795161133</v>
      </c>
    </row>
    <row r="253" spans="2:40" x14ac:dyDescent="0.35">
      <c r="B253" s="13">
        <v>43597</v>
      </c>
      <c r="C253" s="8">
        <v>437.75</v>
      </c>
      <c r="D253" s="8">
        <f t="shared" si="0"/>
        <v>-15.5</v>
      </c>
      <c r="E253" s="8">
        <f t="shared" si="1"/>
        <v>-3.4197462768891342</v>
      </c>
      <c r="G253" s="16">
        <v>43597</v>
      </c>
      <c r="H253" s="14">
        <v>1650.35</v>
      </c>
      <c r="I253" s="8">
        <v>-51.55</v>
      </c>
      <c r="J253" s="8">
        <v>-3.0289676239999999</v>
      </c>
      <c r="L253" s="13">
        <v>43597</v>
      </c>
      <c r="M253" s="8">
        <v>1274.8499999999999</v>
      </c>
      <c r="N253" s="8">
        <f t="shared" si="2"/>
        <v>-9</v>
      </c>
      <c r="O253" s="8">
        <f t="shared" si="3"/>
        <v>-0.70101647388713639</v>
      </c>
      <c r="Q253" s="13">
        <v>43597</v>
      </c>
      <c r="R253" s="8">
        <v>7276</v>
      </c>
      <c r="S253" s="8">
        <f t="shared" si="18"/>
        <v>-111.94999999999982</v>
      </c>
      <c r="T253" s="8">
        <f t="shared" si="19"/>
        <v>-1.5153053282710336</v>
      </c>
      <c r="V253" s="13">
        <v>43597</v>
      </c>
      <c r="W253" s="8">
        <v>555.54999999999995</v>
      </c>
      <c r="X253" s="8">
        <f t="shared" si="6"/>
        <v>-8.9500000000000455</v>
      </c>
      <c r="Y253" s="8">
        <f t="shared" si="7"/>
        <v>-1.5854738706820275</v>
      </c>
      <c r="AA253" s="13">
        <v>43597</v>
      </c>
      <c r="AB253" s="8">
        <v>2876.4</v>
      </c>
      <c r="AC253" s="8">
        <f t="shared" si="8"/>
        <v>-31.049999999999727</v>
      </c>
      <c r="AD253" s="8">
        <f t="shared" si="9"/>
        <v>-1.0679461383686644</v>
      </c>
      <c r="AF253" s="13">
        <v>43597</v>
      </c>
      <c r="AG253" s="8">
        <v>980.65</v>
      </c>
      <c r="AH253" s="8">
        <f t="shared" si="10"/>
        <v>-63.699999999999932</v>
      </c>
      <c r="AI253" s="8">
        <f t="shared" si="11"/>
        <v>-6.0994877196342161</v>
      </c>
      <c r="AK253" s="13">
        <v>43597</v>
      </c>
      <c r="AL253" s="8">
        <v>269.48</v>
      </c>
      <c r="AM253" s="8">
        <f t="shared" si="12"/>
        <v>-6.0399999999999636</v>
      </c>
      <c r="AN253" s="8">
        <f t="shared" si="13"/>
        <v>-2.1922183507549229</v>
      </c>
    </row>
    <row r="254" spans="2:40" x14ac:dyDescent="0.35">
      <c r="B254" s="13">
        <v>43590</v>
      </c>
      <c r="C254" s="8">
        <v>453.25</v>
      </c>
      <c r="D254" s="8">
        <f t="shared" si="0"/>
        <v>-10.850000000000023</v>
      </c>
      <c r="E254" s="8">
        <f t="shared" si="1"/>
        <v>-2.337858220211166</v>
      </c>
      <c r="G254" s="16">
        <v>43590</v>
      </c>
      <c r="H254" s="14">
        <v>1701.9</v>
      </c>
      <c r="I254" s="8">
        <v>-20.45</v>
      </c>
      <c r="J254" s="8">
        <v>-1.1873312629999999</v>
      </c>
      <c r="L254" s="13">
        <v>43590</v>
      </c>
      <c r="M254" s="8">
        <v>1283.8499999999999</v>
      </c>
      <c r="N254" s="8">
        <f t="shared" si="2"/>
        <v>-6.0500000000001819</v>
      </c>
      <c r="O254" s="8">
        <f t="shared" si="3"/>
        <v>-0.46902860686876358</v>
      </c>
      <c r="Q254" s="13">
        <v>43590</v>
      </c>
      <c r="R254" s="8">
        <v>7387.95</v>
      </c>
      <c r="S254" s="8">
        <f t="shared" si="18"/>
        <v>-79.550000000000182</v>
      </c>
      <c r="T254" s="8">
        <f t="shared" si="19"/>
        <v>-1.0652828925343178</v>
      </c>
      <c r="V254" s="13">
        <v>43590</v>
      </c>
      <c r="W254" s="8">
        <v>564.5</v>
      </c>
      <c r="X254" s="8">
        <f t="shared" si="6"/>
        <v>-3.4500000000000455</v>
      </c>
      <c r="Y254" s="8">
        <f t="shared" si="7"/>
        <v>-0.60744783871820496</v>
      </c>
      <c r="AA254" s="13">
        <v>43590</v>
      </c>
      <c r="AB254" s="8">
        <v>2907.45</v>
      </c>
      <c r="AC254" s="8">
        <f t="shared" si="8"/>
        <v>15.199999999999818</v>
      </c>
      <c r="AD254" s="8">
        <f t="shared" si="9"/>
        <v>0.52554239778718359</v>
      </c>
      <c r="AF254" s="13">
        <v>43590</v>
      </c>
      <c r="AG254" s="8">
        <v>1044.3499999999999</v>
      </c>
      <c r="AH254" s="8">
        <f t="shared" si="10"/>
        <v>4.5999999999999091</v>
      </c>
      <c r="AI254" s="8">
        <f t="shared" si="11"/>
        <v>0.44241404183697131</v>
      </c>
      <c r="AK254" s="13">
        <v>43590</v>
      </c>
      <c r="AL254" s="8">
        <v>275.52</v>
      </c>
      <c r="AM254" s="8">
        <f t="shared" si="12"/>
        <v>-34.78000000000003</v>
      </c>
      <c r="AN254" s="8">
        <f t="shared" si="13"/>
        <v>-11.208507895584926</v>
      </c>
    </row>
    <row r="255" spans="2:40" x14ac:dyDescent="0.35">
      <c r="B255" s="13">
        <v>43583</v>
      </c>
      <c r="C255" s="8">
        <v>464.1</v>
      </c>
      <c r="D255" s="8">
        <f t="shared" si="0"/>
        <v>0.90000000000003411</v>
      </c>
      <c r="E255" s="8">
        <f t="shared" si="1"/>
        <v>0.19430051813472241</v>
      </c>
      <c r="G255" s="16">
        <v>43583</v>
      </c>
      <c r="H255" s="14">
        <v>1722.35</v>
      </c>
      <c r="I255" s="8">
        <v>-2</v>
      </c>
      <c r="J255" s="8">
        <v>-0.1159857338</v>
      </c>
      <c r="L255" s="13">
        <v>43583</v>
      </c>
      <c r="M255" s="8">
        <v>1289.9000000000001</v>
      </c>
      <c r="N255" s="8">
        <f t="shared" si="2"/>
        <v>-10</v>
      </c>
      <c r="O255" s="8">
        <f t="shared" si="3"/>
        <v>-0.76928994538041384</v>
      </c>
      <c r="Q255" s="13">
        <v>43583</v>
      </c>
      <c r="R255" s="8">
        <v>7467.5</v>
      </c>
      <c r="S255" s="8">
        <f t="shared" si="18"/>
        <v>-357.60000000000036</v>
      </c>
      <c r="T255" s="8">
        <f t="shared" si="19"/>
        <v>-4.5699096497169407</v>
      </c>
      <c r="V255" s="13">
        <v>43583</v>
      </c>
      <c r="W255" s="8">
        <v>567.95000000000005</v>
      </c>
      <c r="X255" s="8">
        <f t="shared" si="6"/>
        <v>6.4000000000000909</v>
      </c>
      <c r="Y255" s="8">
        <f t="shared" si="7"/>
        <v>1.1397026088505193</v>
      </c>
      <c r="AA255" s="13">
        <v>43583</v>
      </c>
      <c r="AB255" s="8">
        <v>2892.25</v>
      </c>
      <c r="AC255" s="8">
        <f t="shared" si="8"/>
        <v>93.150000000000091</v>
      </c>
      <c r="AD255" s="8">
        <f t="shared" si="9"/>
        <v>3.3278553820871029</v>
      </c>
      <c r="AF255" s="13">
        <v>43583</v>
      </c>
      <c r="AG255" s="8">
        <v>1039.75</v>
      </c>
      <c r="AH255" s="8">
        <f t="shared" si="10"/>
        <v>-23.599999999999909</v>
      </c>
      <c r="AI255" s="8">
        <f t="shared" si="11"/>
        <v>-2.2194009498283642</v>
      </c>
      <c r="AK255" s="13">
        <v>43583</v>
      </c>
      <c r="AL255" s="8">
        <v>310.3</v>
      </c>
      <c r="AM255" s="8">
        <f t="shared" si="12"/>
        <v>2.6999999999999886</v>
      </c>
      <c r="AN255" s="8">
        <f t="shared" si="13"/>
        <v>0.8777633289986958</v>
      </c>
    </row>
    <row r="256" spans="2:40" x14ac:dyDescent="0.35">
      <c r="B256" s="13">
        <v>43576</v>
      </c>
      <c r="C256" s="8">
        <v>463.2</v>
      </c>
      <c r="D256" s="8">
        <f t="shared" si="0"/>
        <v>-1.8500000000000227</v>
      </c>
      <c r="E256" s="8">
        <f t="shared" si="1"/>
        <v>-0.39780668745296693</v>
      </c>
      <c r="G256" s="16">
        <v>43576</v>
      </c>
      <c r="H256" s="14">
        <v>1724.35</v>
      </c>
      <c r="I256" s="8">
        <v>-7.75</v>
      </c>
      <c r="J256" s="8">
        <v>-0.44743375089999998</v>
      </c>
      <c r="L256" s="13">
        <v>43576</v>
      </c>
      <c r="M256" s="8">
        <v>1299.9000000000001</v>
      </c>
      <c r="N256" s="8">
        <f t="shared" si="2"/>
        <v>2.1500000000000909</v>
      </c>
      <c r="O256" s="8">
        <f t="shared" si="3"/>
        <v>0.16567135426700758</v>
      </c>
      <c r="Q256" s="13">
        <v>43576</v>
      </c>
      <c r="R256" s="8">
        <v>7825.1</v>
      </c>
      <c r="S256" s="8">
        <f t="shared" si="18"/>
        <v>424.80000000000018</v>
      </c>
      <c r="T256" s="8">
        <f t="shared" si="19"/>
        <v>5.7403078253584336</v>
      </c>
      <c r="V256" s="13">
        <v>43576</v>
      </c>
      <c r="W256" s="8">
        <v>561.54999999999995</v>
      </c>
      <c r="X256" s="8">
        <f t="shared" si="6"/>
        <v>6.6999999999999318</v>
      </c>
      <c r="Y256" s="8">
        <f t="shared" si="7"/>
        <v>1.2075335676308789</v>
      </c>
      <c r="AA256" s="13">
        <v>43576</v>
      </c>
      <c r="AB256" s="8">
        <v>2799.1</v>
      </c>
      <c r="AC256" s="8">
        <f t="shared" si="8"/>
        <v>-7.9500000000002728</v>
      </c>
      <c r="AD256" s="8">
        <f t="shared" si="9"/>
        <v>-0.28321547532107633</v>
      </c>
      <c r="AF256" s="13">
        <v>43576</v>
      </c>
      <c r="AG256" s="8">
        <v>1063.3499999999999</v>
      </c>
      <c r="AH256" s="8">
        <f t="shared" si="10"/>
        <v>29.699999999999818</v>
      </c>
      <c r="AI256" s="8">
        <f t="shared" si="11"/>
        <v>2.87331301697865</v>
      </c>
      <c r="AK256" s="13">
        <v>43576</v>
      </c>
      <c r="AL256" s="8">
        <v>307.60000000000002</v>
      </c>
      <c r="AM256" s="8">
        <f t="shared" si="12"/>
        <v>-6.8999999999999773</v>
      </c>
      <c r="AN256" s="8">
        <f t="shared" si="13"/>
        <v>-2.1939586645468925</v>
      </c>
    </row>
    <row r="257" spans="2:40" x14ac:dyDescent="0.35">
      <c r="B257" s="13">
        <v>43569</v>
      </c>
      <c r="C257" s="8">
        <v>465.05</v>
      </c>
      <c r="D257" s="8">
        <f t="shared" si="0"/>
        <v>1.9000000000000341</v>
      </c>
      <c r="E257" s="8">
        <f t="shared" si="1"/>
        <v>0.41023426535680324</v>
      </c>
      <c r="G257" s="16">
        <v>43569</v>
      </c>
      <c r="H257" s="14">
        <v>1732.1</v>
      </c>
      <c r="I257" s="8">
        <v>13.1</v>
      </c>
      <c r="J257" s="8">
        <v>0.76207097150000003</v>
      </c>
      <c r="L257" s="13">
        <v>43569</v>
      </c>
      <c r="M257" s="8">
        <v>1297.75</v>
      </c>
      <c r="N257" s="8">
        <f t="shared" si="2"/>
        <v>-1.25</v>
      </c>
      <c r="O257" s="8">
        <f t="shared" si="3"/>
        <v>-9.6227867590454194E-2</v>
      </c>
      <c r="Q257" s="13">
        <v>43569</v>
      </c>
      <c r="R257" s="8">
        <v>7400.3</v>
      </c>
      <c r="S257" s="8">
        <f t="shared" si="18"/>
        <v>98.100000000000364</v>
      </c>
      <c r="T257" s="8">
        <f t="shared" si="19"/>
        <v>1.3434307468982001</v>
      </c>
      <c r="V257" s="13">
        <v>43569</v>
      </c>
      <c r="W257" s="8">
        <v>554.85</v>
      </c>
      <c r="X257" s="8">
        <f t="shared" si="6"/>
        <v>22.75</v>
      </c>
      <c r="Y257" s="8">
        <f t="shared" si="7"/>
        <v>4.2755121217816194</v>
      </c>
      <c r="AA257" s="13">
        <v>43569</v>
      </c>
      <c r="AB257" s="8">
        <v>2807.05</v>
      </c>
      <c r="AC257" s="8">
        <f t="shared" si="8"/>
        <v>52.700000000000273</v>
      </c>
      <c r="AD257" s="8">
        <f t="shared" si="9"/>
        <v>1.9133370849746865</v>
      </c>
      <c r="AF257" s="13">
        <v>43569</v>
      </c>
      <c r="AG257" s="8">
        <v>1033.6500000000001</v>
      </c>
      <c r="AH257" s="8">
        <f t="shared" si="10"/>
        <v>7.1000000000001364</v>
      </c>
      <c r="AI257" s="8">
        <f t="shared" si="11"/>
        <v>0.69163703667625898</v>
      </c>
      <c r="AK257" s="13">
        <v>43569</v>
      </c>
      <c r="AL257" s="8">
        <v>314.5</v>
      </c>
      <c r="AM257" s="8">
        <f t="shared" si="12"/>
        <v>8.75</v>
      </c>
      <c r="AN257" s="8">
        <f t="shared" si="13"/>
        <v>2.8618152085036797</v>
      </c>
    </row>
    <row r="258" spans="2:40" x14ac:dyDescent="0.35">
      <c r="B258" s="13">
        <v>43562</v>
      </c>
      <c r="C258" s="8">
        <v>463.15</v>
      </c>
      <c r="D258" s="8">
        <f t="shared" si="0"/>
        <v>-15.700000000000045</v>
      </c>
      <c r="E258" s="8">
        <f t="shared" si="1"/>
        <v>-3.2786885245901733</v>
      </c>
      <c r="G258" s="16">
        <v>43562</v>
      </c>
      <c r="H258" s="14">
        <v>1719</v>
      </c>
      <c r="I258" s="8">
        <v>15.9</v>
      </c>
      <c r="J258" s="8">
        <v>0.93359168569999995</v>
      </c>
      <c r="L258" s="13">
        <v>43562</v>
      </c>
      <c r="M258" s="8">
        <v>1299</v>
      </c>
      <c r="N258" s="8">
        <f t="shared" si="2"/>
        <v>1.5499999999999545</v>
      </c>
      <c r="O258" s="8">
        <f t="shared" si="3"/>
        <v>0.11946510462830587</v>
      </c>
      <c r="Q258" s="13">
        <v>43562</v>
      </c>
      <c r="R258" s="8">
        <v>7302.2</v>
      </c>
      <c r="S258" s="8">
        <f t="shared" si="18"/>
        <v>-2.6000000000003638</v>
      </c>
      <c r="T258" s="8">
        <f t="shared" si="19"/>
        <v>-3.5593034716903456E-2</v>
      </c>
      <c r="V258" s="13">
        <v>43562</v>
      </c>
      <c r="W258" s="8">
        <v>532.1</v>
      </c>
      <c r="X258" s="8">
        <f t="shared" si="6"/>
        <v>3.2000000000000455</v>
      </c>
      <c r="Y258" s="8">
        <f t="shared" si="7"/>
        <v>0.60502930610702321</v>
      </c>
      <c r="AA258" s="13">
        <v>43562</v>
      </c>
      <c r="AB258" s="8">
        <v>2754.35</v>
      </c>
      <c r="AC258" s="8">
        <f t="shared" si="8"/>
        <v>-25.900000000000091</v>
      </c>
      <c r="AD258" s="8">
        <f t="shared" si="9"/>
        <v>-0.93157090189731462</v>
      </c>
      <c r="AF258" s="13">
        <v>43562</v>
      </c>
      <c r="AG258" s="8">
        <v>1026.55</v>
      </c>
      <c r="AH258" s="8">
        <f t="shared" si="10"/>
        <v>-17.75</v>
      </c>
      <c r="AI258" s="8">
        <f t="shared" si="11"/>
        <v>-1.6997031504356985</v>
      </c>
      <c r="AK258" s="13">
        <v>43562</v>
      </c>
      <c r="AL258" s="8">
        <v>305.75</v>
      </c>
      <c r="AM258" s="8">
        <f t="shared" si="12"/>
        <v>0.48000000000001819</v>
      </c>
      <c r="AN258" s="8">
        <f t="shared" si="13"/>
        <v>0.15723785501360049</v>
      </c>
    </row>
    <row r="259" spans="2:40" x14ac:dyDescent="0.35">
      <c r="B259" s="13">
        <v>43555</v>
      </c>
      <c r="C259" s="8">
        <v>478.85</v>
      </c>
      <c r="D259" s="8">
        <f t="shared" si="0"/>
        <v>5.6000000000000227</v>
      </c>
      <c r="E259" s="8">
        <f t="shared" si="1"/>
        <v>1.18330692023244</v>
      </c>
      <c r="G259" s="16">
        <v>43555</v>
      </c>
      <c r="H259" s="14">
        <v>1703.1</v>
      </c>
      <c r="I259" s="8">
        <v>39.450000000000003</v>
      </c>
      <c r="J259" s="8">
        <v>2.3712920390000001</v>
      </c>
      <c r="L259" s="13">
        <v>43555</v>
      </c>
      <c r="M259" s="8">
        <v>1297.45</v>
      </c>
      <c r="N259" s="8">
        <f t="shared" si="2"/>
        <v>-30.149999999999864</v>
      </c>
      <c r="O259" s="8">
        <f t="shared" si="3"/>
        <v>-2.2710153660741086</v>
      </c>
      <c r="Q259" s="13">
        <v>43555</v>
      </c>
      <c r="R259" s="8">
        <v>7304.8</v>
      </c>
      <c r="S259" s="8">
        <f t="shared" si="18"/>
        <v>-79.050000000000182</v>
      </c>
      <c r="T259" s="8">
        <f t="shared" si="19"/>
        <v>-1.0705797111263118</v>
      </c>
      <c r="V259" s="13">
        <v>43555</v>
      </c>
      <c r="W259" s="8">
        <v>528.9</v>
      </c>
      <c r="X259" s="8">
        <f t="shared" si="6"/>
        <v>2.1000000000000227</v>
      </c>
      <c r="Y259" s="8">
        <f t="shared" si="7"/>
        <v>0.39863325740319344</v>
      </c>
      <c r="AA259" s="13">
        <v>43555</v>
      </c>
      <c r="AB259" s="8">
        <v>2780.25</v>
      </c>
      <c r="AC259" s="8">
        <f t="shared" si="8"/>
        <v>28.949999999999818</v>
      </c>
      <c r="AD259" s="8">
        <f t="shared" si="9"/>
        <v>1.0522298549776403</v>
      </c>
      <c r="AF259" s="13">
        <v>43555</v>
      </c>
      <c r="AG259" s="8">
        <v>1044.3</v>
      </c>
      <c r="AH259" s="8">
        <f t="shared" si="10"/>
        <v>-37.700000000000045</v>
      </c>
      <c r="AI259" s="8">
        <f t="shared" si="11"/>
        <v>-3.4842883548983408</v>
      </c>
      <c r="AK259" s="13">
        <v>43555</v>
      </c>
      <c r="AL259" s="8">
        <v>305.27</v>
      </c>
      <c r="AM259" s="8">
        <f t="shared" si="12"/>
        <v>-3.2100000000000364</v>
      </c>
      <c r="AN259" s="8">
        <f t="shared" si="13"/>
        <v>-1.040586099585074</v>
      </c>
    </row>
    <row r="260" spans="2:40" x14ac:dyDescent="0.35">
      <c r="B260" s="13">
        <v>43548</v>
      </c>
      <c r="C260" s="8">
        <v>473.25</v>
      </c>
      <c r="D260" s="8">
        <f t="shared" si="0"/>
        <v>8.8999999999999773</v>
      </c>
      <c r="E260" s="8">
        <f t="shared" si="1"/>
        <v>1.9166576935501189</v>
      </c>
      <c r="G260" s="16">
        <v>43548</v>
      </c>
      <c r="H260" s="14">
        <v>1663.65</v>
      </c>
      <c r="I260" s="8">
        <v>-44.35</v>
      </c>
      <c r="J260" s="8">
        <v>-2.5966042150000002</v>
      </c>
      <c r="L260" s="13">
        <v>43548</v>
      </c>
      <c r="M260" s="8">
        <v>1327.6</v>
      </c>
      <c r="N260" s="8">
        <f t="shared" si="2"/>
        <v>26.449999999999818</v>
      </c>
      <c r="O260" s="8">
        <f t="shared" si="3"/>
        <v>2.0328171233139773</v>
      </c>
      <c r="Q260" s="13">
        <v>43548</v>
      </c>
      <c r="R260" s="8">
        <v>7383.85</v>
      </c>
      <c r="S260" s="8">
        <f t="shared" si="18"/>
        <v>92.350000000000364</v>
      </c>
      <c r="T260" s="8">
        <f t="shared" si="19"/>
        <v>1.2665432352739541</v>
      </c>
      <c r="V260" s="13">
        <v>43548</v>
      </c>
      <c r="W260" s="8">
        <v>526.79999999999995</v>
      </c>
      <c r="X260" s="8">
        <f t="shared" si="6"/>
        <v>-5.8000000000000682</v>
      </c>
      <c r="Y260" s="8">
        <f t="shared" si="7"/>
        <v>-1.088997371385668</v>
      </c>
      <c r="AA260" s="13">
        <v>43548</v>
      </c>
      <c r="AB260" s="8">
        <v>2751.3</v>
      </c>
      <c r="AC260" s="8">
        <f t="shared" si="8"/>
        <v>92.400000000000091</v>
      </c>
      <c r="AD260" s="8">
        <f t="shared" si="9"/>
        <v>3.4751212907593398</v>
      </c>
      <c r="AF260" s="13">
        <v>43548</v>
      </c>
      <c r="AG260" s="8">
        <v>1082</v>
      </c>
      <c r="AH260" s="8">
        <f t="shared" si="10"/>
        <v>23.049999999999955</v>
      </c>
      <c r="AI260" s="8">
        <f t="shared" si="11"/>
        <v>2.1766844515793902</v>
      </c>
      <c r="AK260" s="13">
        <v>43548</v>
      </c>
      <c r="AL260" s="8">
        <v>308.48</v>
      </c>
      <c r="AM260" s="8">
        <f t="shared" si="12"/>
        <v>-3.0199999999999818</v>
      </c>
      <c r="AN260" s="8">
        <f t="shared" si="13"/>
        <v>-0.96950240770464902</v>
      </c>
    </row>
    <row r="261" spans="2:40" x14ac:dyDescent="0.35">
      <c r="B261" s="13">
        <v>43541</v>
      </c>
      <c r="C261" s="8">
        <v>464.35</v>
      </c>
      <c r="D261" s="8">
        <f t="shared" si="0"/>
        <v>9.4000000000000341</v>
      </c>
      <c r="E261" s="8">
        <f t="shared" si="1"/>
        <v>2.0661611166062279</v>
      </c>
      <c r="G261" s="16">
        <v>43541</v>
      </c>
      <c r="H261" s="14">
        <v>1708</v>
      </c>
      <c r="I261" s="8">
        <v>60.6</v>
      </c>
      <c r="J261" s="8">
        <v>3.6785237340000001</v>
      </c>
      <c r="L261" s="13">
        <v>43541</v>
      </c>
      <c r="M261" s="8">
        <v>1301.1500000000001</v>
      </c>
      <c r="N261" s="8">
        <f t="shared" si="2"/>
        <v>-10.549999999999955</v>
      </c>
      <c r="O261" s="8">
        <f t="shared" si="3"/>
        <v>-0.80429976366546885</v>
      </c>
      <c r="Q261" s="13">
        <v>43541</v>
      </c>
      <c r="R261" s="8">
        <v>7291.5</v>
      </c>
      <c r="S261" s="8">
        <f t="shared" si="18"/>
        <v>-72.350000000000364</v>
      </c>
      <c r="T261" s="8">
        <f t="shared" si="19"/>
        <v>-0.98250235949945153</v>
      </c>
      <c r="V261" s="13">
        <v>43541</v>
      </c>
      <c r="W261" s="8">
        <v>532.6</v>
      </c>
      <c r="X261" s="8">
        <f t="shared" si="6"/>
        <v>-7.3500000000000227</v>
      </c>
      <c r="Y261" s="8">
        <f t="shared" si="7"/>
        <v>-1.3612371515881141</v>
      </c>
      <c r="AA261" s="13">
        <v>43541</v>
      </c>
      <c r="AB261" s="8">
        <v>2658.9</v>
      </c>
      <c r="AC261" s="8">
        <f t="shared" si="8"/>
        <v>43.849999999999909</v>
      </c>
      <c r="AD261" s="8">
        <f t="shared" si="9"/>
        <v>1.6768321829410491</v>
      </c>
      <c r="AF261" s="13">
        <v>43541</v>
      </c>
      <c r="AG261" s="8">
        <v>1058.95</v>
      </c>
      <c r="AH261" s="8">
        <f t="shared" si="10"/>
        <v>40.75</v>
      </c>
      <c r="AI261" s="8">
        <f t="shared" si="11"/>
        <v>4.0021606757022195</v>
      </c>
      <c r="AK261" s="13">
        <v>43541</v>
      </c>
      <c r="AL261" s="8">
        <v>311.5</v>
      </c>
      <c r="AM261" s="8">
        <f t="shared" si="12"/>
        <v>4.1000000000000227</v>
      </c>
      <c r="AN261" s="8">
        <f t="shared" si="13"/>
        <v>1.3337670787247959</v>
      </c>
    </row>
    <row r="262" spans="2:40" x14ac:dyDescent="0.35">
      <c r="B262" s="13">
        <v>43534</v>
      </c>
      <c r="C262" s="8">
        <v>454.95</v>
      </c>
      <c r="D262" s="8">
        <f t="shared" si="0"/>
        <v>7.5999999999999659</v>
      </c>
      <c r="E262" s="8">
        <f t="shared" si="1"/>
        <v>1.6988934838493273</v>
      </c>
      <c r="G262" s="16">
        <v>43534</v>
      </c>
      <c r="H262" s="14">
        <v>1647.4</v>
      </c>
      <c r="I262" s="8">
        <v>-22.4</v>
      </c>
      <c r="J262" s="8">
        <v>-1.3414780209999999</v>
      </c>
      <c r="L262" s="13">
        <v>43534</v>
      </c>
      <c r="M262" s="8">
        <v>1311.7</v>
      </c>
      <c r="N262" s="8">
        <f t="shared" si="2"/>
        <v>-17.599999999999909</v>
      </c>
      <c r="O262" s="8">
        <f t="shared" si="3"/>
        <v>-1.3240051154743029</v>
      </c>
      <c r="Q262" s="13">
        <v>43534</v>
      </c>
      <c r="R262" s="8">
        <v>7363.85</v>
      </c>
      <c r="S262" s="8">
        <f t="shared" si="18"/>
        <v>30.450000000000728</v>
      </c>
      <c r="T262" s="8">
        <f t="shared" si="19"/>
        <v>0.41522349796821023</v>
      </c>
      <c r="V262" s="13">
        <v>43534</v>
      </c>
      <c r="W262" s="8">
        <v>539.95000000000005</v>
      </c>
      <c r="X262" s="8">
        <f t="shared" si="6"/>
        <v>-11.599999999999909</v>
      </c>
      <c r="Y262" s="8">
        <f t="shared" si="7"/>
        <v>-2.103163811077855</v>
      </c>
      <c r="AA262" s="13">
        <v>43534</v>
      </c>
      <c r="AB262" s="8">
        <v>2615.0500000000002</v>
      </c>
      <c r="AC262" s="8">
        <f t="shared" si="8"/>
        <v>-30.949999999999818</v>
      </c>
      <c r="AD262" s="8">
        <f t="shared" si="9"/>
        <v>-1.1696900982615199</v>
      </c>
      <c r="AF262" s="13">
        <v>43534</v>
      </c>
      <c r="AG262" s="8">
        <v>1018.2</v>
      </c>
      <c r="AH262" s="8">
        <f t="shared" si="10"/>
        <v>-0.19999999999993179</v>
      </c>
      <c r="AI262" s="8">
        <f t="shared" si="11"/>
        <v>-1.9638648860951669E-2</v>
      </c>
      <c r="AK262" s="13">
        <v>43534</v>
      </c>
      <c r="AL262" s="8">
        <v>307.39999999999998</v>
      </c>
      <c r="AM262" s="8">
        <f t="shared" si="12"/>
        <v>-9.0500000000000114</v>
      </c>
      <c r="AN262" s="8">
        <f t="shared" si="13"/>
        <v>-2.8598514773265955</v>
      </c>
    </row>
    <row r="263" spans="2:40" x14ac:dyDescent="0.35">
      <c r="B263" s="13">
        <v>43527</v>
      </c>
      <c r="C263" s="8">
        <v>447.35</v>
      </c>
      <c r="D263" s="8">
        <f t="shared" si="0"/>
        <v>16.850000000000023</v>
      </c>
      <c r="E263" s="8">
        <f t="shared" si="1"/>
        <v>3.9140534262485533</v>
      </c>
      <c r="G263" s="16">
        <v>43527</v>
      </c>
      <c r="H263" s="14">
        <v>1669.8</v>
      </c>
      <c r="I263" s="8">
        <v>104.8</v>
      </c>
      <c r="J263" s="8">
        <v>6.6964856230000001</v>
      </c>
      <c r="L263" s="13">
        <v>43527</v>
      </c>
      <c r="M263" s="8">
        <v>1329.3</v>
      </c>
      <c r="N263" s="8">
        <f t="shared" si="2"/>
        <v>-17.5</v>
      </c>
      <c r="O263" s="8">
        <f t="shared" si="3"/>
        <v>-1.2993762993762994</v>
      </c>
      <c r="Q263" s="13">
        <v>43527</v>
      </c>
      <c r="R263" s="8">
        <v>7333.4</v>
      </c>
      <c r="S263" s="8">
        <f t="shared" si="18"/>
        <v>102.84999999999945</v>
      </c>
      <c r="T263" s="8">
        <f t="shared" si="19"/>
        <v>1.4224367440927654</v>
      </c>
      <c r="V263" s="13">
        <v>43527</v>
      </c>
      <c r="W263" s="8">
        <v>551.54999999999995</v>
      </c>
      <c r="X263" s="8">
        <f t="shared" si="6"/>
        <v>10.25</v>
      </c>
      <c r="Y263" s="8">
        <f t="shared" si="7"/>
        <v>1.8935895067430262</v>
      </c>
      <c r="AA263" s="13">
        <v>43527</v>
      </c>
      <c r="AB263" s="8">
        <v>2646</v>
      </c>
      <c r="AC263" s="8">
        <f t="shared" si="8"/>
        <v>6.5</v>
      </c>
      <c r="AD263" s="8">
        <f t="shared" si="9"/>
        <v>0.24625876112900172</v>
      </c>
      <c r="AF263" s="13">
        <v>43527</v>
      </c>
      <c r="AG263" s="8">
        <v>1018.4</v>
      </c>
      <c r="AH263" s="8">
        <f t="shared" si="10"/>
        <v>-14.250000000000114</v>
      </c>
      <c r="AI263" s="8">
        <f t="shared" si="11"/>
        <v>-1.3799448022079226</v>
      </c>
      <c r="AK263" s="13">
        <v>43527</v>
      </c>
      <c r="AL263" s="8">
        <v>316.45</v>
      </c>
      <c r="AM263" s="8">
        <f t="shared" si="12"/>
        <v>5.8499999999999659</v>
      </c>
      <c r="AN263" s="8">
        <f t="shared" si="13"/>
        <v>1.8834513844172458</v>
      </c>
    </row>
    <row r="264" spans="2:40" x14ac:dyDescent="0.35">
      <c r="B264" s="13">
        <v>43520</v>
      </c>
      <c r="C264" s="8">
        <v>430.5</v>
      </c>
      <c r="D264" s="8">
        <f t="shared" si="0"/>
        <v>7.6000000000000227</v>
      </c>
      <c r="E264" s="8">
        <f t="shared" si="1"/>
        <v>1.7971151572475816</v>
      </c>
      <c r="G264" s="16">
        <v>43520</v>
      </c>
      <c r="H264" s="14">
        <v>1565</v>
      </c>
      <c r="I264" s="8">
        <v>-56.35</v>
      </c>
      <c r="J264" s="8">
        <v>-3.4754988130000002</v>
      </c>
      <c r="L264" s="13">
        <v>43520</v>
      </c>
      <c r="M264" s="8">
        <v>1346.8</v>
      </c>
      <c r="N264" s="8">
        <f t="shared" si="2"/>
        <v>-24.75</v>
      </c>
      <c r="O264" s="8">
        <f t="shared" si="3"/>
        <v>-1.8045277241077613</v>
      </c>
      <c r="Q264" s="13">
        <v>43520</v>
      </c>
      <c r="R264" s="8">
        <v>7230.55</v>
      </c>
      <c r="S264" s="8">
        <f t="shared" si="18"/>
        <v>-211.89999999999964</v>
      </c>
      <c r="T264" s="8">
        <f t="shared" si="19"/>
        <v>-2.8471806999039249</v>
      </c>
      <c r="V264" s="13">
        <v>43520</v>
      </c>
      <c r="W264" s="8">
        <v>541.29999999999995</v>
      </c>
      <c r="X264" s="8">
        <f t="shared" si="6"/>
        <v>0.75</v>
      </c>
      <c r="Y264" s="8">
        <f t="shared" si="7"/>
        <v>0.13874757191749146</v>
      </c>
      <c r="AA264" s="13">
        <v>43520</v>
      </c>
      <c r="AB264" s="8">
        <v>2639.5</v>
      </c>
      <c r="AC264" s="8">
        <f t="shared" si="8"/>
        <v>76.150000000000091</v>
      </c>
      <c r="AD264" s="8">
        <f t="shared" si="9"/>
        <v>2.9707219068796729</v>
      </c>
      <c r="AF264" s="13">
        <v>43520</v>
      </c>
      <c r="AG264" s="8">
        <v>1032.6500000000001</v>
      </c>
      <c r="AH264" s="8">
        <f t="shared" si="10"/>
        <v>18.300000000000068</v>
      </c>
      <c r="AI264" s="8">
        <f t="shared" si="11"/>
        <v>1.8041110070488557</v>
      </c>
      <c r="AK264" s="13">
        <v>43520</v>
      </c>
      <c r="AL264" s="8">
        <v>310.60000000000002</v>
      </c>
      <c r="AM264" s="8">
        <f t="shared" si="12"/>
        <v>2.9700000000000273</v>
      </c>
      <c r="AN264" s="8">
        <f t="shared" si="13"/>
        <v>0.96544550271430851</v>
      </c>
    </row>
    <row r="265" spans="2:40" x14ac:dyDescent="0.35">
      <c r="B265" s="13">
        <v>43513</v>
      </c>
      <c r="C265" s="8">
        <v>422.9</v>
      </c>
      <c r="D265" s="8">
        <f t="shared" si="0"/>
        <v>-8.1500000000000341</v>
      </c>
      <c r="E265" s="8">
        <f t="shared" si="1"/>
        <v>-1.8907319336503965</v>
      </c>
      <c r="G265" s="16">
        <v>43513</v>
      </c>
      <c r="H265" s="14">
        <v>1621.35</v>
      </c>
      <c r="I265" s="8">
        <v>-63.75</v>
      </c>
      <c r="J265" s="8">
        <v>-3.7831582699999999</v>
      </c>
      <c r="L265" s="13">
        <v>43513</v>
      </c>
      <c r="M265" s="8">
        <v>1371.55</v>
      </c>
      <c r="N265" s="8">
        <f t="shared" si="2"/>
        <v>-29.450000000000045</v>
      </c>
      <c r="O265" s="8">
        <f t="shared" si="3"/>
        <v>-2.1020699500356921</v>
      </c>
      <c r="Q265" s="13">
        <v>43513</v>
      </c>
      <c r="R265" s="8">
        <v>7442.45</v>
      </c>
      <c r="S265" s="8">
        <f t="shared" si="18"/>
        <v>-599.55000000000018</v>
      </c>
      <c r="T265" s="8">
        <f t="shared" si="19"/>
        <v>-7.4552350161651351</v>
      </c>
      <c r="V265" s="13">
        <v>43513</v>
      </c>
      <c r="W265" s="8">
        <v>540.54999999999995</v>
      </c>
      <c r="X265" s="8">
        <f t="shared" si="6"/>
        <v>6.2999999999999545</v>
      </c>
      <c r="Y265" s="8">
        <f t="shared" si="7"/>
        <v>1.179223210107619</v>
      </c>
      <c r="AA265" s="13">
        <v>43513</v>
      </c>
      <c r="AB265" s="8">
        <v>2563.35</v>
      </c>
      <c r="AC265" s="8">
        <f t="shared" si="8"/>
        <v>-206.34999999999991</v>
      </c>
      <c r="AD265" s="8">
        <f t="shared" si="9"/>
        <v>-7.4502653717009037</v>
      </c>
      <c r="AF265" s="13">
        <v>43513</v>
      </c>
      <c r="AG265" s="8">
        <v>1014.35</v>
      </c>
      <c r="AH265" s="8">
        <f t="shared" si="10"/>
        <v>-65.600000000000023</v>
      </c>
      <c r="AI265" s="8">
        <f t="shared" si="11"/>
        <v>-6.0743552942265859</v>
      </c>
      <c r="AK265" s="13">
        <v>43513</v>
      </c>
      <c r="AL265" s="8">
        <v>307.63</v>
      </c>
      <c r="AM265" s="8">
        <f t="shared" si="12"/>
        <v>-19.519999999999982</v>
      </c>
      <c r="AN265" s="8">
        <f t="shared" si="13"/>
        <v>-5.9666819501757553</v>
      </c>
    </row>
    <row r="266" spans="2:40" x14ac:dyDescent="0.35">
      <c r="B266" s="13">
        <v>43506</v>
      </c>
      <c r="C266" s="8">
        <v>431.05</v>
      </c>
      <c r="D266" s="8">
        <f t="shared" si="0"/>
        <v>7.8000000000000114</v>
      </c>
      <c r="E266" s="8">
        <f t="shared" si="1"/>
        <v>1.8428824571766123</v>
      </c>
      <c r="G266" s="16">
        <v>43506</v>
      </c>
      <c r="H266" s="14">
        <v>1685.1</v>
      </c>
      <c r="I266" s="8">
        <v>152.75</v>
      </c>
      <c r="J266" s="8">
        <v>9.9683492670000007</v>
      </c>
      <c r="L266" s="13">
        <v>43506</v>
      </c>
      <c r="M266" s="8">
        <v>1401</v>
      </c>
      <c r="N266" s="8">
        <f t="shared" si="2"/>
        <v>-6.5499999999999545</v>
      </c>
      <c r="O266" s="8">
        <f t="shared" si="3"/>
        <v>-0.46534758978366342</v>
      </c>
      <c r="Q266" s="13">
        <v>43506</v>
      </c>
      <c r="R266" s="8">
        <v>8042</v>
      </c>
      <c r="S266" s="8">
        <f t="shared" si="18"/>
        <v>-56.899999999999636</v>
      </c>
      <c r="T266" s="8">
        <f t="shared" si="19"/>
        <v>-0.70256454580251193</v>
      </c>
      <c r="V266" s="13">
        <v>43506</v>
      </c>
      <c r="W266" s="8">
        <v>534.25</v>
      </c>
      <c r="X266" s="8">
        <f t="shared" si="6"/>
        <v>12.899999999999977</v>
      </c>
      <c r="Y266" s="8">
        <f t="shared" si="7"/>
        <v>2.4743454493142756</v>
      </c>
      <c r="AA266" s="13">
        <v>43506</v>
      </c>
      <c r="AB266" s="8">
        <v>2769.7</v>
      </c>
      <c r="AC266" s="8">
        <f t="shared" si="8"/>
        <v>-21.550000000000182</v>
      </c>
      <c r="AD266" s="8">
        <f t="shared" si="9"/>
        <v>-0.7720555306762269</v>
      </c>
      <c r="AF266" s="13">
        <v>43506</v>
      </c>
      <c r="AG266" s="8">
        <v>1079.95</v>
      </c>
      <c r="AH266" s="8">
        <f t="shared" si="10"/>
        <v>39.25</v>
      </c>
      <c r="AI266" s="8">
        <f t="shared" si="11"/>
        <v>3.7714999519554144</v>
      </c>
      <c r="AK266" s="13">
        <v>43506</v>
      </c>
      <c r="AL266" s="8">
        <v>327.14999999999998</v>
      </c>
      <c r="AM266" s="8">
        <f t="shared" si="12"/>
        <v>-5.9800000000000182</v>
      </c>
      <c r="AN266" s="8">
        <f t="shared" si="13"/>
        <v>-1.795095007954858</v>
      </c>
    </row>
    <row r="267" spans="2:40" x14ac:dyDescent="0.35">
      <c r="B267" s="13">
        <v>43499</v>
      </c>
      <c r="C267" s="8">
        <v>423.25</v>
      </c>
      <c r="D267" s="8">
        <f t="shared" si="0"/>
        <v>0.85000000000002274</v>
      </c>
      <c r="E267" s="8">
        <f t="shared" si="1"/>
        <v>0.20123106060606599</v>
      </c>
      <c r="G267" s="16">
        <v>43499</v>
      </c>
      <c r="H267" s="14">
        <v>1532.35</v>
      </c>
      <c r="I267" s="8">
        <v>37</v>
      </c>
      <c r="J267" s="8">
        <v>2.4743371120000002</v>
      </c>
      <c r="L267" s="13">
        <v>43499</v>
      </c>
      <c r="M267" s="8">
        <v>1407.55</v>
      </c>
      <c r="N267" s="8">
        <f t="shared" si="2"/>
        <v>5.1499999999998636</v>
      </c>
      <c r="O267" s="8">
        <f t="shared" si="3"/>
        <v>0.36722760981174152</v>
      </c>
      <c r="Q267" s="13">
        <v>43499</v>
      </c>
      <c r="R267" s="8">
        <v>8098.9</v>
      </c>
      <c r="S267" s="8">
        <f t="shared" si="18"/>
        <v>-106.39999999999964</v>
      </c>
      <c r="T267" s="8">
        <f t="shared" si="19"/>
        <v>-1.2967228498653267</v>
      </c>
      <c r="V267" s="13">
        <v>43499</v>
      </c>
      <c r="W267" s="8">
        <v>521.35</v>
      </c>
      <c r="X267" s="8">
        <f t="shared" si="6"/>
        <v>13.700000000000045</v>
      </c>
      <c r="Y267" s="8">
        <f t="shared" si="7"/>
        <v>2.6987097409632712</v>
      </c>
      <c r="AA267" s="13">
        <v>43499</v>
      </c>
      <c r="AB267" s="8">
        <v>2791.25</v>
      </c>
      <c r="AC267" s="8">
        <f t="shared" si="8"/>
        <v>118.84999999999991</v>
      </c>
      <c r="AD267" s="8">
        <f t="shared" si="9"/>
        <v>4.4473132764556169</v>
      </c>
      <c r="AF267" s="13">
        <v>43499</v>
      </c>
      <c r="AG267" s="8">
        <v>1040.7</v>
      </c>
      <c r="AH267" s="8">
        <f t="shared" si="10"/>
        <v>-17.799999999999955</v>
      </c>
      <c r="AI267" s="8">
        <f t="shared" si="11"/>
        <v>-1.6816249409541761</v>
      </c>
      <c r="AK267" s="13">
        <v>43499</v>
      </c>
      <c r="AL267" s="8">
        <v>333.13</v>
      </c>
      <c r="AM267" s="8">
        <f t="shared" si="12"/>
        <v>0.77999999999997272</v>
      </c>
      <c r="AN267" s="8">
        <f t="shared" si="13"/>
        <v>0.23469234241010159</v>
      </c>
    </row>
    <row r="268" spans="2:40" x14ac:dyDescent="0.35">
      <c r="B268" s="13">
        <v>43492</v>
      </c>
      <c r="C268" s="8">
        <v>422.4</v>
      </c>
      <c r="D268" s="8">
        <f t="shared" si="0"/>
        <v>31.649999999999977</v>
      </c>
      <c r="E268" s="8">
        <f t="shared" si="1"/>
        <v>8.0998080614203403</v>
      </c>
      <c r="G268" s="16">
        <v>43492</v>
      </c>
      <c r="H268" s="14">
        <v>1495.35</v>
      </c>
      <c r="I268" s="8">
        <v>-13.8</v>
      </c>
      <c r="J268" s="8">
        <v>-0.91442202559999997</v>
      </c>
      <c r="L268" s="13">
        <v>43492</v>
      </c>
      <c r="M268" s="8">
        <v>1402.4</v>
      </c>
      <c r="N268" s="8">
        <f t="shared" si="2"/>
        <v>-15.299999999999955</v>
      </c>
      <c r="O268" s="8">
        <f t="shared" si="3"/>
        <v>-1.0792128094801408</v>
      </c>
      <c r="Q268" s="13">
        <v>43492</v>
      </c>
      <c r="R268" s="8">
        <v>8205.2999999999993</v>
      </c>
      <c r="S268" s="8">
        <f t="shared" si="18"/>
        <v>106.94999999999891</v>
      </c>
      <c r="T268" s="8">
        <f t="shared" si="19"/>
        <v>1.3206393895052559</v>
      </c>
      <c r="V268" s="13">
        <v>43492</v>
      </c>
      <c r="W268" s="8">
        <v>507.65</v>
      </c>
      <c r="X268" s="8">
        <f t="shared" si="6"/>
        <v>-1.75</v>
      </c>
      <c r="Y268" s="8">
        <f t="shared" si="7"/>
        <v>-0.3435414212799372</v>
      </c>
      <c r="AA268" s="13">
        <v>43492</v>
      </c>
      <c r="AB268" s="8">
        <v>2672.4</v>
      </c>
      <c r="AC268" s="8">
        <f t="shared" si="8"/>
        <v>75.599999999999909</v>
      </c>
      <c r="AD268" s="8">
        <f t="shared" si="9"/>
        <v>2.9112754158964842</v>
      </c>
      <c r="AF268" s="13">
        <v>43492</v>
      </c>
      <c r="AG268" s="8">
        <v>1058.5</v>
      </c>
      <c r="AH268" s="8">
        <f t="shared" si="10"/>
        <v>11.25</v>
      </c>
      <c r="AI268" s="8">
        <f t="shared" si="11"/>
        <v>1.0742420625447602</v>
      </c>
      <c r="AK268" s="13">
        <v>43492</v>
      </c>
      <c r="AL268" s="8">
        <v>332.35</v>
      </c>
      <c r="AM268" s="8">
        <f t="shared" si="12"/>
        <v>6.3300000000000409</v>
      </c>
      <c r="AN268" s="8">
        <f t="shared" si="13"/>
        <v>1.9415986749279313</v>
      </c>
    </row>
    <row r="269" spans="2:40" x14ac:dyDescent="0.35">
      <c r="B269" s="13">
        <v>43485</v>
      </c>
      <c r="C269" s="8">
        <v>390.75</v>
      </c>
      <c r="D269" s="8">
        <f t="shared" si="0"/>
        <v>-53.649999999999977</v>
      </c>
      <c r="E269" s="8">
        <f t="shared" si="1"/>
        <v>-12.07245724572457</v>
      </c>
      <c r="G269" s="16">
        <v>43485</v>
      </c>
      <c r="H269" s="14">
        <v>1509.15</v>
      </c>
      <c r="I269" s="8">
        <v>4</v>
      </c>
      <c r="J269" s="8">
        <v>0.26575424380000001</v>
      </c>
      <c r="L269" s="13">
        <v>43485</v>
      </c>
      <c r="M269" s="8">
        <v>1417.7</v>
      </c>
      <c r="N269" s="8">
        <f t="shared" si="2"/>
        <v>-66.349999999999909</v>
      </c>
      <c r="O269" s="8">
        <f t="shared" si="3"/>
        <v>-4.4708736228563666</v>
      </c>
      <c r="Q269" s="13">
        <v>43485</v>
      </c>
      <c r="R269" s="8">
        <v>8098.35</v>
      </c>
      <c r="S269" s="8">
        <f t="shared" si="18"/>
        <v>14.900000000000546</v>
      </c>
      <c r="T269" s="8">
        <f t="shared" si="19"/>
        <v>0.18432723651411892</v>
      </c>
      <c r="V269" s="13">
        <v>43485</v>
      </c>
      <c r="W269" s="8">
        <v>509.4</v>
      </c>
      <c r="X269" s="8">
        <f t="shared" si="6"/>
        <v>-0.80000000000001137</v>
      </c>
      <c r="Y269" s="8">
        <f t="shared" si="7"/>
        <v>-0.1568012544100375</v>
      </c>
      <c r="AA269" s="13">
        <v>43485</v>
      </c>
      <c r="AB269" s="8">
        <v>2596.8000000000002</v>
      </c>
      <c r="AC269" s="8">
        <f t="shared" si="8"/>
        <v>8.6500000000000909</v>
      </c>
      <c r="AD269" s="8">
        <f t="shared" si="9"/>
        <v>0.33421555937639202</v>
      </c>
      <c r="AF269" s="13">
        <v>43485</v>
      </c>
      <c r="AG269" s="8">
        <v>1047.25</v>
      </c>
      <c r="AH269" s="8">
        <f t="shared" si="10"/>
        <v>61.850000000000023</v>
      </c>
      <c r="AI269" s="8">
        <f t="shared" si="11"/>
        <v>6.2766389283539699</v>
      </c>
      <c r="AK269" s="13">
        <v>43485</v>
      </c>
      <c r="AL269" s="8">
        <v>326.02</v>
      </c>
      <c r="AM269" s="8">
        <f t="shared" si="12"/>
        <v>4.7699999999999818</v>
      </c>
      <c r="AN269" s="8">
        <f t="shared" si="13"/>
        <v>1.4848249027237297</v>
      </c>
    </row>
    <row r="270" spans="2:40" x14ac:dyDescent="0.35">
      <c r="B270" s="13">
        <v>43478</v>
      </c>
      <c r="C270" s="8">
        <v>444.4</v>
      </c>
      <c r="D270" s="8">
        <f t="shared" ref="D270:D273" si="20">IF(AND(ISNUMBER(C270),ISNUMBER(C271)), (C270 - C271), "")</f>
        <v>10.599999999999966</v>
      </c>
      <c r="E270" s="8">
        <f t="shared" ref="E270:E273" si="21">IF(AND(ISNUMBER(D270),ISNUMBER(C271)), (100*D270/ABS(C271)), "")</f>
        <v>2.4435223605348009</v>
      </c>
      <c r="G270" s="16">
        <v>43478</v>
      </c>
      <c r="H270" s="14">
        <v>1505.15</v>
      </c>
      <c r="I270" s="8">
        <v>44.65</v>
      </c>
      <c r="J270" s="8">
        <v>3.0571722010000002</v>
      </c>
      <c r="L270" s="13">
        <v>43478</v>
      </c>
      <c r="M270" s="8">
        <v>1484.05</v>
      </c>
      <c r="N270" s="8">
        <f t="shared" ref="N270:N273" si="22">IF(AND(ISNUMBER(M270),ISNUMBER(M271)), (M270 - M271), "")</f>
        <v>34.049999999999955</v>
      </c>
      <c r="O270" s="8">
        <f t="shared" ref="O270:O273" si="23">IF(AND(ISNUMBER(N270),ISNUMBER(M271)), (100*N270/ABS(M271)), "")</f>
        <v>2.3482758620689625</v>
      </c>
      <c r="Q270" s="13">
        <v>43478</v>
      </c>
      <c r="R270" s="8">
        <v>8083.45</v>
      </c>
      <c r="S270" s="8">
        <f t="shared" si="18"/>
        <v>578.94999999999982</v>
      </c>
      <c r="T270" s="8">
        <f t="shared" si="19"/>
        <v>7.7147045106269552</v>
      </c>
      <c r="V270" s="13">
        <v>43478</v>
      </c>
      <c r="W270" s="8">
        <v>510.2</v>
      </c>
      <c r="X270" s="8">
        <f t="shared" ref="X270:X273" si="24">IF(AND(ISNUMBER(W270),ISNUMBER(W271)), (W270 - W271), "")</f>
        <v>-2.5999999999999659</v>
      </c>
      <c r="Y270" s="8">
        <f t="shared" ref="Y270:Y273" si="25">IF(AND(ISNUMBER(X270),ISNUMBER(W271)), (100*X270/ABS(W271)), "")</f>
        <v>-0.50702028081122585</v>
      </c>
      <c r="AA270" s="13">
        <v>43478</v>
      </c>
      <c r="AB270" s="8">
        <v>2588.15</v>
      </c>
      <c r="AC270" s="8">
        <f t="shared" ref="AC270:AC273" si="26">IF(AND(ISNUMBER(AB270),ISNUMBER(AB271)), (AB270 - AB271), "")</f>
        <v>-11.849999999999909</v>
      </c>
      <c r="AD270" s="8">
        <f t="shared" ref="AD270:AD273" si="27">IF(AND(ISNUMBER(AC270),ISNUMBER(AB271)), (100*AC270/ABS(AB271)), "")</f>
        <v>-0.45576923076922726</v>
      </c>
      <c r="AF270" s="13">
        <v>43478</v>
      </c>
      <c r="AG270" s="8">
        <v>985.4</v>
      </c>
      <c r="AH270" s="8">
        <f t="shared" ref="AH270:AH273" si="28">IF(AND(ISNUMBER(AG270),ISNUMBER(AG271)), (AG270 - AG271), "")</f>
        <v>45.299999999999955</v>
      </c>
      <c r="AI270" s="8">
        <f t="shared" ref="AI270:AI273" si="29">IF(AND(ISNUMBER(AH270),ISNUMBER(AG271)), (100*AH270/ABS(AG271)), "")</f>
        <v>4.8186363152856027</v>
      </c>
      <c r="AK270" s="13">
        <v>43478</v>
      </c>
      <c r="AL270" s="8">
        <v>321.25</v>
      </c>
      <c r="AM270" s="8">
        <f t="shared" ref="AM270:AM273" si="30">IF(AND(ISNUMBER(AL270),ISNUMBER(AL271)), (AL270 - AL271), "")</f>
        <v>11.980000000000018</v>
      </c>
      <c r="AN270" s="8">
        <f t="shared" ref="AN270:AN273" si="31">IF(AND(ISNUMBER(AM270),ISNUMBER(AL271)), (100*AM270/ABS(AL271)), "")</f>
        <v>3.8736379215572216</v>
      </c>
    </row>
    <row r="271" spans="2:40" x14ac:dyDescent="0.35">
      <c r="B271" s="13">
        <v>43471</v>
      </c>
      <c r="C271" s="8">
        <v>433.8</v>
      </c>
      <c r="D271" s="8">
        <f t="shared" si="20"/>
        <v>8.6000000000000227</v>
      </c>
      <c r="E271" s="8">
        <f t="shared" si="21"/>
        <v>2.0225776105362239</v>
      </c>
      <c r="G271" s="16">
        <v>43471</v>
      </c>
      <c r="H271" s="14">
        <v>1460.5</v>
      </c>
      <c r="I271" s="8">
        <v>-6.7</v>
      </c>
      <c r="J271" s="8">
        <v>-0.45665212649999998</v>
      </c>
      <c r="L271" s="13">
        <v>43471</v>
      </c>
      <c r="M271" s="8">
        <v>1450</v>
      </c>
      <c r="N271" s="8">
        <f t="shared" si="22"/>
        <v>-62.049999999999955</v>
      </c>
      <c r="O271" s="8">
        <f t="shared" si="23"/>
        <v>-4.1037002744618203</v>
      </c>
      <c r="Q271" s="13">
        <v>43471</v>
      </c>
      <c r="R271" s="8">
        <v>7504.5</v>
      </c>
      <c r="S271" s="8">
        <f t="shared" ref="S271:S273" si="32">IF(AND(ISNUMBER(R271),ISNUMBER(R272)), (R271 - R272), "")</f>
        <v>33.550000000000182</v>
      </c>
      <c r="T271" s="8">
        <f t="shared" ref="T271:T273" si="33">IF(AND(ISNUMBER(S271),ISNUMBER(R272)), (100*S271/ABS(R272)), "")</f>
        <v>0.44907274175305928</v>
      </c>
      <c r="V271" s="13">
        <v>43471</v>
      </c>
      <c r="W271" s="8">
        <v>512.79999999999995</v>
      </c>
      <c r="X271" s="8">
        <f t="shared" si="24"/>
        <v>-9.2000000000000455</v>
      </c>
      <c r="Y271" s="8">
        <f t="shared" si="25"/>
        <v>-1.7624521072797021</v>
      </c>
      <c r="AA271" s="13">
        <v>43471</v>
      </c>
      <c r="AB271" s="8">
        <v>2600</v>
      </c>
      <c r="AC271" s="8">
        <f t="shared" si="26"/>
        <v>-21.900000000000091</v>
      </c>
      <c r="AD271" s="8">
        <f t="shared" si="27"/>
        <v>-0.83527213089744423</v>
      </c>
      <c r="AF271" s="13">
        <v>43471</v>
      </c>
      <c r="AG271" s="8">
        <v>940.1</v>
      </c>
      <c r="AH271" s="8">
        <f t="shared" si="28"/>
        <v>31.600000000000023</v>
      </c>
      <c r="AI271" s="8">
        <f t="shared" si="29"/>
        <v>3.47826086956522</v>
      </c>
      <c r="AK271" s="13">
        <v>43471</v>
      </c>
      <c r="AL271" s="8">
        <v>309.27</v>
      </c>
      <c r="AM271" s="8">
        <f t="shared" si="30"/>
        <v>-1.1299999999999955</v>
      </c>
      <c r="AN271" s="8">
        <f t="shared" si="31"/>
        <v>-0.36404639175257586</v>
      </c>
    </row>
    <row r="272" spans="2:40" x14ac:dyDescent="0.35">
      <c r="B272" s="13">
        <v>43464</v>
      </c>
      <c r="C272" s="8">
        <v>425.2</v>
      </c>
      <c r="D272" s="8">
        <f t="shared" si="20"/>
        <v>-0.10000000000002274</v>
      </c>
      <c r="E272" s="8">
        <f t="shared" si="21"/>
        <v>-2.3512814483899067E-2</v>
      </c>
      <c r="G272" s="16">
        <v>43464</v>
      </c>
      <c r="H272" s="14">
        <v>1467.2</v>
      </c>
      <c r="I272" s="8">
        <v>-7.6</v>
      </c>
      <c r="J272" s="8">
        <v>-0.51532411170000003</v>
      </c>
      <c r="L272" s="13">
        <v>43464</v>
      </c>
      <c r="M272" s="8">
        <v>1512.05</v>
      </c>
      <c r="N272" s="8">
        <f t="shared" si="22"/>
        <v>66.649999999999864</v>
      </c>
      <c r="O272" s="8">
        <f t="shared" si="23"/>
        <v>4.6111802961117929</v>
      </c>
      <c r="Q272" s="13">
        <v>43464</v>
      </c>
      <c r="R272" s="8">
        <v>7470.95</v>
      </c>
      <c r="S272" s="8">
        <f t="shared" si="32"/>
        <v>60.949999999999818</v>
      </c>
      <c r="T272" s="8">
        <f t="shared" si="33"/>
        <v>0.82253711201079371</v>
      </c>
      <c r="V272" s="13">
        <v>43464</v>
      </c>
      <c r="W272" s="8">
        <v>522</v>
      </c>
      <c r="X272" s="8">
        <f t="shared" si="24"/>
        <v>5.3500000000000227</v>
      </c>
      <c r="Y272" s="8">
        <f t="shared" si="25"/>
        <v>1.0355172747508028</v>
      </c>
      <c r="AA272" s="13">
        <v>43464</v>
      </c>
      <c r="AB272" s="8">
        <v>2621.9</v>
      </c>
      <c r="AC272" s="8">
        <f t="shared" si="26"/>
        <v>13.849999999999909</v>
      </c>
      <c r="AD272" s="8">
        <f t="shared" si="27"/>
        <v>0.53104810107167844</v>
      </c>
      <c r="AF272" s="13">
        <v>43464</v>
      </c>
      <c r="AG272" s="8">
        <v>908.5</v>
      </c>
      <c r="AH272" s="8">
        <f t="shared" si="28"/>
        <v>-46.600000000000023</v>
      </c>
      <c r="AI272" s="8">
        <f t="shared" si="29"/>
        <v>-4.8790702544236222</v>
      </c>
      <c r="AK272" s="13">
        <v>43464</v>
      </c>
      <c r="AL272" s="8">
        <v>310.39999999999998</v>
      </c>
      <c r="AM272" s="8">
        <f t="shared" si="30"/>
        <v>-5.0000000000011369E-2</v>
      </c>
      <c r="AN272" s="8">
        <f t="shared" si="31"/>
        <v>-1.6105653084236227E-2</v>
      </c>
    </row>
    <row r="273" spans="2:40" x14ac:dyDescent="0.35">
      <c r="B273" s="13">
        <v>43457</v>
      </c>
      <c r="C273" s="8">
        <v>425.3</v>
      </c>
      <c r="D273" s="8">
        <f t="shared" si="20"/>
        <v>4.6500000000000341</v>
      </c>
      <c r="E273" s="8">
        <f t="shared" si="21"/>
        <v>1.1054320694163875</v>
      </c>
      <c r="G273" s="16">
        <v>43457</v>
      </c>
      <c r="H273" s="14">
        <v>1474.8</v>
      </c>
      <c r="I273" s="8">
        <v>-16.600000000000001</v>
      </c>
      <c r="J273" s="8">
        <v>-1.1130481430000001</v>
      </c>
      <c r="L273" s="13">
        <v>43457</v>
      </c>
      <c r="M273" s="8">
        <v>1445.4</v>
      </c>
      <c r="N273" s="8">
        <f t="shared" si="22"/>
        <v>61.050000000000182</v>
      </c>
      <c r="O273" s="8">
        <f t="shared" si="23"/>
        <v>4.4100119189511453</v>
      </c>
      <c r="Q273" s="13">
        <v>43457</v>
      </c>
      <c r="R273" s="8">
        <v>7410</v>
      </c>
      <c r="S273" s="8">
        <f t="shared" si="32"/>
        <v>-146</v>
      </c>
      <c r="T273" s="8">
        <f t="shared" si="33"/>
        <v>-1.9322392800423505</v>
      </c>
      <c r="V273" s="13">
        <v>43457</v>
      </c>
      <c r="W273" s="8">
        <v>516.65</v>
      </c>
      <c r="X273" s="8">
        <f t="shared" si="24"/>
        <v>-5.1000000000000227</v>
      </c>
      <c r="Y273" s="8">
        <f t="shared" si="25"/>
        <v>-0.97747963584092434</v>
      </c>
      <c r="AA273" s="13">
        <v>43457</v>
      </c>
      <c r="AB273" s="8">
        <v>2608.0500000000002</v>
      </c>
      <c r="AC273" s="8">
        <f t="shared" si="26"/>
        <v>16.350000000000364</v>
      </c>
      <c r="AD273" s="8">
        <f t="shared" si="27"/>
        <v>0.63086005324691763</v>
      </c>
      <c r="AF273" s="13">
        <v>43457</v>
      </c>
      <c r="AG273" s="8">
        <v>955.1</v>
      </c>
      <c r="AH273" s="8">
        <f t="shared" si="28"/>
        <v>-7.3500000000000227</v>
      </c>
      <c r="AI273" s="8">
        <f t="shared" si="29"/>
        <v>-0.76367603511870974</v>
      </c>
      <c r="AK273" s="13">
        <v>43457</v>
      </c>
      <c r="AL273" s="8">
        <v>310.45</v>
      </c>
      <c r="AM273" s="8">
        <f t="shared" si="30"/>
        <v>-13.53000000000003</v>
      </c>
      <c r="AN273" s="8">
        <f t="shared" si="31"/>
        <v>-4.1761837150441474</v>
      </c>
    </row>
    <row r="274" spans="2:40" x14ac:dyDescent="0.35">
      <c r="B274" s="13">
        <v>43450</v>
      </c>
      <c r="C274" s="8">
        <v>420.65</v>
      </c>
      <c r="D274" s="8"/>
      <c r="E274" s="8"/>
      <c r="G274" s="16">
        <v>43450</v>
      </c>
      <c r="H274" s="14">
        <v>1491.4</v>
      </c>
      <c r="I274" s="8"/>
      <c r="J274" s="8"/>
      <c r="L274" s="13">
        <v>43450</v>
      </c>
      <c r="M274" s="8">
        <v>1384.35</v>
      </c>
      <c r="N274" s="8"/>
      <c r="O274" s="8"/>
      <c r="Q274" s="13">
        <v>43450</v>
      </c>
      <c r="R274" s="8">
        <v>7556</v>
      </c>
      <c r="S274" s="8"/>
      <c r="T274" s="8"/>
      <c r="V274" s="13">
        <v>43450</v>
      </c>
      <c r="W274" s="8">
        <v>521.75</v>
      </c>
      <c r="X274" s="8"/>
      <c r="Y274" s="8"/>
      <c r="AA274" s="13">
        <v>43450</v>
      </c>
      <c r="AB274" s="8">
        <v>2591.6999999999998</v>
      </c>
      <c r="AC274" s="8"/>
      <c r="AD274" s="8"/>
      <c r="AF274" s="13">
        <v>43450</v>
      </c>
      <c r="AG274" s="8">
        <v>962.45</v>
      </c>
      <c r="AH274" s="8"/>
      <c r="AI274" s="8"/>
      <c r="AK274" s="13">
        <v>43450</v>
      </c>
      <c r="AL274" s="8">
        <v>323.98</v>
      </c>
      <c r="AM274" s="8"/>
      <c r="AN274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5EB-74AC-49CA-9AE0-E42DDBA12325}">
  <dimension ref="B3:L37"/>
  <sheetViews>
    <sheetView topLeftCell="A2" workbookViewId="0">
      <selection activeCell="G9" sqref="G9"/>
    </sheetView>
  </sheetViews>
  <sheetFormatPr defaultRowHeight="14.5" x14ac:dyDescent="0.35"/>
  <cols>
    <col min="1" max="1" width="8.7265625" style="10"/>
    <col min="2" max="2" width="14.36328125" style="10" customWidth="1"/>
    <col min="3" max="4" width="19.08984375" style="10" customWidth="1"/>
    <col min="5" max="5" width="8.7265625" style="10"/>
    <col min="6" max="6" width="11.90625" style="10" customWidth="1"/>
    <col min="7" max="7" width="17.36328125" style="10" customWidth="1"/>
    <col min="8" max="10" width="8.7265625" style="10"/>
    <col min="11" max="11" width="11.6328125" style="10" customWidth="1"/>
    <col min="12" max="16384" width="8.7265625" style="10"/>
  </cols>
  <sheetData>
    <row r="3" spans="2:12" x14ac:dyDescent="0.35">
      <c r="B3" s="5" t="s">
        <v>0</v>
      </c>
      <c r="C3" s="8" t="s">
        <v>59</v>
      </c>
      <c r="F3" s="5" t="s">
        <v>0</v>
      </c>
      <c r="G3" s="8" t="s">
        <v>2</v>
      </c>
    </row>
    <row r="4" spans="2:12" x14ac:dyDescent="0.35">
      <c r="B4" s="5" t="s">
        <v>3</v>
      </c>
      <c r="C4" s="7">
        <v>36890</v>
      </c>
      <c r="D4" s="9"/>
      <c r="F4" s="5" t="s">
        <v>3</v>
      </c>
      <c r="G4" s="7">
        <v>36891</v>
      </c>
    </row>
    <row r="5" spans="2:12" x14ac:dyDescent="0.35">
      <c r="B5" s="5" t="s">
        <v>4</v>
      </c>
      <c r="C5" s="7">
        <v>44926</v>
      </c>
      <c r="D5" s="9"/>
      <c r="F5" s="5" t="s">
        <v>4</v>
      </c>
      <c r="G5" s="7">
        <v>45291</v>
      </c>
    </row>
    <row r="6" spans="2:12" x14ac:dyDescent="0.35">
      <c r="B6" s="5" t="s">
        <v>5</v>
      </c>
      <c r="C6" s="8" t="s">
        <v>60</v>
      </c>
      <c r="F6" s="5" t="s">
        <v>5</v>
      </c>
      <c r="G6" s="8" t="s">
        <v>60</v>
      </c>
    </row>
    <row r="7" spans="2:12" x14ac:dyDescent="0.35">
      <c r="F7" s="5" t="s">
        <v>7</v>
      </c>
      <c r="G7" s="8" t="s">
        <v>8</v>
      </c>
    </row>
    <row r="9" spans="2:12" x14ac:dyDescent="0.35">
      <c r="B9" s="5" t="s">
        <v>64</v>
      </c>
      <c r="C9" s="19">
        <f>GEOMEAN(C13:C35)</f>
        <v>7.2224051940432297</v>
      </c>
      <c r="F9" s="5" t="s">
        <v>65</v>
      </c>
      <c r="G9" s="19">
        <f>(GEOMEAN(I14:I36)-1)*100</f>
        <v>14.026525742321528</v>
      </c>
      <c r="K9" s="5" t="s">
        <v>63</v>
      </c>
      <c r="L9" s="19">
        <f>G9-C9</f>
        <v>6.8041205482782985</v>
      </c>
    </row>
    <row r="12" spans="2:12" x14ac:dyDescent="0.35">
      <c r="B12" s="8" t="s">
        <v>10</v>
      </c>
      <c r="C12" s="8" t="s">
        <v>61</v>
      </c>
      <c r="F12" s="8"/>
      <c r="G12" s="8"/>
      <c r="H12" s="8"/>
      <c r="I12" s="8"/>
    </row>
    <row r="13" spans="2:12" x14ac:dyDescent="0.35">
      <c r="B13" s="6">
        <v>44926</v>
      </c>
      <c r="C13" s="8">
        <v>7.3280000000000003</v>
      </c>
      <c r="F13" s="8" t="s">
        <v>10</v>
      </c>
      <c r="G13" s="8" t="s">
        <v>11</v>
      </c>
      <c r="H13" s="8" t="s">
        <v>13</v>
      </c>
      <c r="I13" s="8" t="s">
        <v>62</v>
      </c>
    </row>
    <row r="14" spans="2:12" x14ac:dyDescent="0.35">
      <c r="B14" s="6">
        <v>44561</v>
      </c>
      <c r="C14" s="8">
        <v>6.4539999999999997</v>
      </c>
      <c r="F14" s="6">
        <v>45291</v>
      </c>
      <c r="G14" s="8">
        <v>18686.8</v>
      </c>
      <c r="H14" s="8">
        <v>20.959165245309514</v>
      </c>
      <c r="I14" s="8">
        <v>1.2095916524530952</v>
      </c>
    </row>
    <row r="15" spans="2:12" x14ac:dyDescent="0.35">
      <c r="B15" s="6">
        <v>44196</v>
      </c>
      <c r="C15" s="8">
        <v>5.8650000000000002</v>
      </c>
      <c r="F15" s="6">
        <v>44926</v>
      </c>
      <c r="G15" s="8">
        <v>15448.85</v>
      </c>
      <c r="H15" s="8">
        <v>3.0184313359384354</v>
      </c>
      <c r="I15" s="8">
        <v>1.0301843133593844</v>
      </c>
    </row>
    <row r="16" spans="2:12" x14ac:dyDescent="0.35">
      <c r="B16" s="6">
        <v>43830</v>
      </c>
      <c r="C16" s="8">
        <v>6.5549999999999997</v>
      </c>
      <c r="F16" s="6">
        <v>44561</v>
      </c>
      <c r="G16" s="8">
        <v>14996.2</v>
      </c>
      <c r="H16" s="8">
        <v>30.194559961105384</v>
      </c>
      <c r="I16" s="8">
        <v>1.3019455996110538</v>
      </c>
    </row>
    <row r="17" spans="2:12" x14ac:dyDescent="0.35">
      <c r="B17" s="6">
        <v>43465</v>
      </c>
      <c r="C17" s="8">
        <v>7.3689999999999998</v>
      </c>
      <c r="F17" s="6">
        <v>44196</v>
      </c>
      <c r="G17" s="8">
        <v>11518.3</v>
      </c>
      <c r="H17" s="8">
        <v>16.66995862264562</v>
      </c>
      <c r="I17" s="8">
        <v>1.1666995862264562</v>
      </c>
    </row>
    <row r="18" spans="2:12" x14ac:dyDescent="0.35">
      <c r="B18" s="6">
        <v>43099</v>
      </c>
      <c r="C18" s="8">
        <v>7.3259999999999996</v>
      </c>
      <c r="F18" s="6">
        <v>43830</v>
      </c>
      <c r="G18" s="8">
        <v>9872.5499999999993</v>
      </c>
      <c r="H18" s="8">
        <v>7.6613958560523363</v>
      </c>
      <c r="I18" s="8">
        <v>1.0766139585605234</v>
      </c>
    </row>
    <row r="19" spans="2:12" x14ac:dyDescent="0.35">
      <c r="B19" s="6">
        <v>42735</v>
      </c>
      <c r="C19" s="8">
        <v>6.5149999999999997</v>
      </c>
      <c r="F19" s="6">
        <v>43465</v>
      </c>
      <c r="G19" s="8">
        <v>9170</v>
      </c>
      <c r="H19" s="8">
        <v>-3.3785884001622613</v>
      </c>
      <c r="I19" s="8">
        <v>0.96621411599837737</v>
      </c>
    </row>
    <row r="20" spans="2:12" x14ac:dyDescent="0.35">
      <c r="B20" s="6">
        <v>42369</v>
      </c>
      <c r="C20" s="8">
        <v>7.7610000000000001</v>
      </c>
      <c r="F20" s="6">
        <v>43100</v>
      </c>
      <c r="G20" s="8">
        <v>9490.65</v>
      </c>
      <c r="H20" s="8">
        <v>35.914676061178888</v>
      </c>
      <c r="I20" s="8">
        <v>1.3591467606117889</v>
      </c>
      <c r="K20" s="5" t="s">
        <v>66</v>
      </c>
      <c r="L20" s="19">
        <v>7.1790000000000003</v>
      </c>
    </row>
    <row r="21" spans="2:12" x14ac:dyDescent="0.35">
      <c r="B21" s="6">
        <v>42004</v>
      </c>
      <c r="C21" s="8">
        <v>7.8570000000000002</v>
      </c>
      <c r="F21" s="6">
        <v>42735</v>
      </c>
      <c r="G21" s="8">
        <v>6982.8</v>
      </c>
      <c r="H21" s="8">
        <v>3.8373173723930285</v>
      </c>
      <c r="I21" s="8">
        <v>1.0383731737239303</v>
      </c>
    </row>
    <row r="22" spans="2:12" x14ac:dyDescent="0.35">
      <c r="B22" s="6">
        <v>41639</v>
      </c>
      <c r="C22" s="8">
        <v>8.8249999999999993</v>
      </c>
      <c r="F22" s="6">
        <v>42369</v>
      </c>
      <c r="G22" s="8">
        <v>6724.75</v>
      </c>
      <c r="H22" s="8">
        <v>-0.72191506794711324</v>
      </c>
      <c r="I22" s="8">
        <v>0.9927808493205289</v>
      </c>
    </row>
    <row r="23" spans="2:12" x14ac:dyDescent="0.35">
      <c r="B23" s="6">
        <v>41274</v>
      </c>
      <c r="C23" s="8">
        <v>8.0500000000000007</v>
      </c>
      <c r="F23" s="6">
        <v>42004</v>
      </c>
      <c r="G23" s="8">
        <v>6773.65</v>
      </c>
      <c r="H23" s="8">
        <v>37.820075892448379</v>
      </c>
      <c r="I23" s="8">
        <v>1.3782007589244838</v>
      </c>
    </row>
    <row r="24" spans="2:12" x14ac:dyDescent="0.35">
      <c r="B24" s="6">
        <v>40908</v>
      </c>
      <c r="C24" s="8">
        <v>8.5670000000000002</v>
      </c>
      <c r="F24" s="6">
        <v>41639</v>
      </c>
      <c r="G24" s="8">
        <v>4914.8500000000004</v>
      </c>
      <c r="H24" s="8">
        <v>3.6134037462184811</v>
      </c>
      <c r="I24" s="8">
        <v>1.0361340374621848</v>
      </c>
    </row>
    <row r="25" spans="2:12" x14ac:dyDescent="0.35">
      <c r="B25" s="6">
        <v>40543</v>
      </c>
      <c r="C25" s="8">
        <v>7.9189999999999996</v>
      </c>
      <c r="F25" s="6">
        <v>41274</v>
      </c>
      <c r="G25" s="8">
        <v>4743.45</v>
      </c>
      <c r="H25" s="8">
        <v>31.844903064415256</v>
      </c>
      <c r="I25" s="8">
        <v>1.3184490306441525</v>
      </c>
    </row>
    <row r="26" spans="2:12" x14ac:dyDescent="0.35">
      <c r="B26" s="6">
        <v>40178</v>
      </c>
      <c r="C26" s="8">
        <v>7.5890000000000004</v>
      </c>
      <c r="F26" s="6">
        <v>40908</v>
      </c>
      <c r="G26" s="8">
        <v>3597.75</v>
      </c>
      <c r="H26" s="8">
        <v>-27.185055505520189</v>
      </c>
      <c r="I26" s="8">
        <v>0.72814944494479805</v>
      </c>
    </row>
    <row r="27" spans="2:12" x14ac:dyDescent="0.35">
      <c r="B27" s="6">
        <v>39813</v>
      </c>
      <c r="C27" s="8">
        <v>5.2619999999999996</v>
      </c>
      <c r="F27" s="6">
        <v>40543</v>
      </c>
      <c r="G27" s="8">
        <v>4940.95</v>
      </c>
      <c r="H27" s="8">
        <v>14.133422651359391</v>
      </c>
      <c r="I27" s="8">
        <v>1.141334226513594</v>
      </c>
    </row>
    <row r="28" spans="2:12" x14ac:dyDescent="0.35">
      <c r="B28" s="6">
        <v>39447</v>
      </c>
      <c r="C28" s="8">
        <v>7.7930000000000001</v>
      </c>
      <c r="F28" s="6">
        <v>40178</v>
      </c>
      <c r="G28" s="8">
        <v>4329.1000000000004</v>
      </c>
      <c r="H28" s="8">
        <v>88.570184035718185</v>
      </c>
      <c r="I28" s="8">
        <v>1.8857018403571817</v>
      </c>
    </row>
    <row r="29" spans="2:12" x14ac:dyDescent="0.35">
      <c r="B29" s="6">
        <v>39081</v>
      </c>
      <c r="C29" s="8">
        <v>7.6109999999999998</v>
      </c>
      <c r="F29" s="6">
        <v>39813</v>
      </c>
      <c r="G29" s="8">
        <v>2295.75</v>
      </c>
      <c r="H29" s="8">
        <v>-57.126449661045442</v>
      </c>
      <c r="I29" s="8">
        <v>0.42873550338954558</v>
      </c>
    </row>
    <row r="30" spans="2:12" x14ac:dyDescent="0.35">
      <c r="B30" s="6">
        <v>38717</v>
      </c>
      <c r="C30" s="8">
        <v>7.1139999999999999</v>
      </c>
      <c r="F30" s="6">
        <v>39447</v>
      </c>
      <c r="G30" s="8">
        <v>5354.7</v>
      </c>
      <c r="H30" s="8">
        <v>62.507397459826088</v>
      </c>
      <c r="I30" s="8">
        <v>1.6250739745982608</v>
      </c>
    </row>
    <row r="31" spans="2:12" x14ac:dyDescent="0.35">
      <c r="B31" s="6">
        <v>38352</v>
      </c>
      <c r="C31" s="8">
        <v>6.5540000000000003</v>
      </c>
      <c r="F31" s="6">
        <v>39082</v>
      </c>
      <c r="G31" s="8">
        <v>3295.05</v>
      </c>
      <c r="H31" s="8">
        <v>33.988695510735212</v>
      </c>
      <c r="I31" s="8">
        <v>1.3398869551073522</v>
      </c>
    </row>
    <row r="32" spans="2:12" x14ac:dyDescent="0.35">
      <c r="B32" s="6">
        <v>37986</v>
      </c>
      <c r="C32" s="8">
        <v>5.1319999999999997</v>
      </c>
      <c r="F32" s="6">
        <v>38717</v>
      </c>
      <c r="G32" s="8">
        <v>2459.1999999999998</v>
      </c>
      <c r="H32" s="8">
        <v>36.251315862374632</v>
      </c>
      <c r="I32" s="8">
        <v>1.3625131586237464</v>
      </c>
    </row>
    <row r="33" spans="2:9" x14ac:dyDescent="0.35">
      <c r="B33" s="6">
        <v>37621</v>
      </c>
      <c r="C33" s="8">
        <v>6.07</v>
      </c>
      <c r="F33" s="6">
        <v>38352</v>
      </c>
      <c r="G33" s="8">
        <v>1804.9</v>
      </c>
      <c r="H33" s="8">
        <v>17.863323211545381</v>
      </c>
      <c r="I33" s="8">
        <v>1.1786332321154538</v>
      </c>
    </row>
    <row r="34" spans="2:9" x14ac:dyDescent="0.35">
      <c r="B34" s="6">
        <v>37256</v>
      </c>
      <c r="C34" s="8">
        <v>7.94</v>
      </c>
      <c r="F34" s="6">
        <v>37986</v>
      </c>
      <c r="G34" s="8">
        <v>1531.35</v>
      </c>
      <c r="H34" s="8">
        <v>98.143236074270533</v>
      </c>
      <c r="I34" s="8">
        <v>1.9814323607427053</v>
      </c>
    </row>
    <row r="35" spans="2:9" x14ac:dyDescent="0.35">
      <c r="B35" s="6">
        <v>36890</v>
      </c>
      <c r="C35" s="8">
        <v>10.946</v>
      </c>
      <c r="F35" s="6">
        <v>37621</v>
      </c>
      <c r="G35" s="8">
        <v>772.85</v>
      </c>
      <c r="H35" s="8">
        <v>10.312589209249214</v>
      </c>
      <c r="I35" s="8">
        <v>1.1031258920924922</v>
      </c>
    </row>
    <row r="36" spans="2:9" x14ac:dyDescent="0.35">
      <c r="F36" s="6">
        <v>37256</v>
      </c>
      <c r="G36" s="8">
        <v>700.6</v>
      </c>
      <c r="H36" s="8">
        <v>-23.251355644410364</v>
      </c>
      <c r="I36" s="8">
        <v>0.76748644355589635</v>
      </c>
    </row>
    <row r="37" spans="2:9" x14ac:dyDescent="0.35">
      <c r="F37" s="6">
        <v>36891</v>
      </c>
      <c r="G37" s="8">
        <v>912.85</v>
      </c>
      <c r="H37" s="8"/>
      <c r="I3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1F5D-D97F-45D7-B4F4-10B9FF6F50C9}">
  <dimension ref="D3:O17"/>
  <sheetViews>
    <sheetView topLeftCell="B4" workbookViewId="0">
      <selection activeCell="F17" sqref="F17"/>
    </sheetView>
  </sheetViews>
  <sheetFormatPr defaultRowHeight="14.5" x14ac:dyDescent="0.35"/>
  <cols>
    <col min="1" max="3" width="8.7265625" style="10"/>
    <col min="4" max="4" width="12.81640625" style="10" customWidth="1"/>
    <col min="5" max="5" width="14.90625" style="10" customWidth="1"/>
    <col min="6" max="6" width="14.1796875" style="10" customWidth="1"/>
    <col min="7" max="7" width="15.08984375" style="10" customWidth="1"/>
    <col min="8" max="8" width="13" style="10" customWidth="1"/>
    <col min="9" max="9" width="15.90625" style="10" customWidth="1"/>
    <col min="10" max="10" width="13.453125" style="10" customWidth="1"/>
    <col min="11" max="11" width="13.1796875" style="10" customWidth="1"/>
    <col min="12" max="16384" width="8.7265625" style="10"/>
  </cols>
  <sheetData>
    <row r="3" spans="4:15" x14ac:dyDescent="0.35">
      <c r="D3" s="5" t="s">
        <v>67</v>
      </c>
      <c r="E3" s="5" t="s">
        <v>68</v>
      </c>
      <c r="F3" s="5" t="s">
        <v>81</v>
      </c>
      <c r="G3" s="5" t="s">
        <v>119</v>
      </c>
      <c r="H3" s="5" t="s">
        <v>120</v>
      </c>
      <c r="I3" s="5" t="s">
        <v>71</v>
      </c>
      <c r="J3" s="5" t="s">
        <v>79</v>
      </c>
      <c r="K3" s="5" t="s">
        <v>80</v>
      </c>
      <c r="N3" s="19" t="s">
        <v>78</v>
      </c>
      <c r="O3" s="19">
        <v>0.25</v>
      </c>
    </row>
    <row r="4" spans="4:15" x14ac:dyDescent="0.35">
      <c r="D4" s="5" t="s">
        <v>41</v>
      </c>
      <c r="E4" s="20">
        <v>2964905.7</v>
      </c>
      <c r="F4" s="20">
        <v>19282.3</v>
      </c>
      <c r="G4" s="20">
        <f>E4+F4</f>
        <v>2984188</v>
      </c>
      <c r="H4" s="20">
        <v>148332.5</v>
      </c>
      <c r="I4" s="8">
        <v>0.63462951630259345</v>
      </c>
      <c r="J4" s="8">
        <f>I4/(1+(F4/E4)*(1-$O$3))</f>
        <v>0.63154905114591642</v>
      </c>
      <c r="K4" s="8">
        <f>J4/(1-(H4/G4))</f>
        <v>0.664582909757225</v>
      </c>
    </row>
    <row r="5" spans="4:15" x14ac:dyDescent="0.35">
      <c r="D5" s="5" t="s">
        <v>72</v>
      </c>
      <c r="E5" s="20">
        <v>192124.5</v>
      </c>
      <c r="F5" s="8">
        <v>25</v>
      </c>
      <c r="G5" s="20">
        <f t="shared" ref="G5:G12" si="0">E5+F5</f>
        <v>192149.5</v>
      </c>
      <c r="H5" s="20">
        <v>18921.599999999999</v>
      </c>
      <c r="I5" s="8">
        <v>0.42312666310027908</v>
      </c>
      <c r="J5" s="8"/>
      <c r="K5" s="8"/>
    </row>
    <row r="6" spans="4:15" x14ac:dyDescent="0.35">
      <c r="D6" s="5" t="s">
        <v>73</v>
      </c>
      <c r="E6" s="20">
        <v>300509.40000000002</v>
      </c>
      <c r="F6" s="8">
        <v>0</v>
      </c>
      <c r="G6" s="20">
        <f t="shared" si="0"/>
        <v>300509.40000000002</v>
      </c>
      <c r="H6" s="20">
        <v>16053</v>
      </c>
      <c r="I6" s="8">
        <v>0.36815109346922009</v>
      </c>
      <c r="J6" s="8">
        <f t="shared" ref="J6:J12" si="1">I6/(1+(F6/E6)*(1-$O$3))</f>
        <v>0.36815109346922009</v>
      </c>
      <c r="K6" s="8">
        <f t="shared" ref="K6:K12" si="2">J6/(1-(H6/G6))</f>
        <v>0.38892731612921788</v>
      </c>
    </row>
    <row r="7" spans="4:15" x14ac:dyDescent="0.35">
      <c r="D7" s="5" t="s">
        <v>74</v>
      </c>
      <c r="E7" s="20">
        <v>482248.7</v>
      </c>
      <c r="F7" s="8">
        <v>0</v>
      </c>
      <c r="G7" s="20">
        <f t="shared" si="0"/>
        <v>482248.7</v>
      </c>
      <c r="H7" s="20">
        <v>19515.5</v>
      </c>
      <c r="I7" s="8">
        <v>0.33399081649396467</v>
      </c>
      <c r="J7" s="8">
        <f t="shared" si="1"/>
        <v>0.33399081649396467</v>
      </c>
      <c r="K7" s="8">
        <f t="shared" si="2"/>
        <v>0.34807668234341738</v>
      </c>
    </row>
    <row r="8" spans="4:15" x14ac:dyDescent="0.35">
      <c r="D8" s="5" t="s">
        <v>75</v>
      </c>
      <c r="E8" s="20">
        <v>974552.7</v>
      </c>
      <c r="F8" s="20">
        <v>9608.9</v>
      </c>
      <c r="G8" s="20">
        <f t="shared" si="0"/>
        <v>984161.6</v>
      </c>
      <c r="H8" s="20">
        <v>48906.9</v>
      </c>
      <c r="I8" s="8">
        <v>0.46074946774059361</v>
      </c>
      <c r="J8" s="8">
        <f t="shared" si="1"/>
        <v>0.45736730327648606</v>
      </c>
      <c r="K8" s="8">
        <f t="shared" si="2"/>
        <v>0.48128422875637172</v>
      </c>
    </row>
    <row r="9" spans="4:15" x14ac:dyDescent="0.35">
      <c r="D9" s="5" t="s">
        <v>45</v>
      </c>
      <c r="E9" s="20">
        <v>932329.1</v>
      </c>
      <c r="F9" s="20">
        <v>13230</v>
      </c>
      <c r="G9" s="20">
        <f t="shared" si="0"/>
        <v>945559.1</v>
      </c>
      <c r="H9" s="20">
        <v>67929</v>
      </c>
      <c r="I9" s="8">
        <v>0.48305804178432948</v>
      </c>
      <c r="J9" s="8">
        <f t="shared" si="1"/>
        <v>0.47797113779859463</v>
      </c>
      <c r="K9" s="8">
        <f t="shared" si="2"/>
        <v>0.51496633819056015</v>
      </c>
    </row>
    <row r="10" spans="4:15" x14ac:dyDescent="0.35">
      <c r="D10" s="5" t="s">
        <v>76</v>
      </c>
      <c r="E10" s="20">
        <v>211032</v>
      </c>
      <c r="F10" s="20">
        <v>2486</v>
      </c>
      <c r="G10" s="20">
        <f t="shared" si="0"/>
        <v>213518</v>
      </c>
      <c r="H10" s="20">
        <v>8968</v>
      </c>
      <c r="I10" s="8">
        <v>0.72557292664404649</v>
      </c>
      <c r="J10" s="8">
        <f t="shared" si="1"/>
        <v>0.71921852099751016</v>
      </c>
      <c r="K10" s="8">
        <f t="shared" si="2"/>
        <v>0.7507509174595276</v>
      </c>
    </row>
    <row r="11" spans="4:15" x14ac:dyDescent="0.35">
      <c r="D11" s="5" t="s">
        <v>47</v>
      </c>
      <c r="E11" s="20">
        <v>302191</v>
      </c>
      <c r="F11" s="20">
        <v>178238</v>
      </c>
      <c r="G11" s="20">
        <f t="shared" si="0"/>
        <v>480429</v>
      </c>
      <c r="H11" s="20">
        <v>37862</v>
      </c>
      <c r="I11" s="8">
        <v>0.66249987817715483</v>
      </c>
      <c r="J11" s="8">
        <f t="shared" si="1"/>
        <v>0.45931523239463323</v>
      </c>
      <c r="K11" s="8">
        <f t="shared" si="2"/>
        <v>0.49861005855412011</v>
      </c>
    </row>
    <row r="12" spans="4:15" x14ac:dyDescent="0.35">
      <c r="D12" s="5" t="s">
        <v>77</v>
      </c>
      <c r="E12" s="20">
        <v>981450.6</v>
      </c>
      <c r="F12" s="8">
        <v>50</v>
      </c>
      <c r="G12" s="20">
        <f t="shared" si="0"/>
        <v>981500.6</v>
      </c>
      <c r="H12" s="20">
        <v>36110</v>
      </c>
      <c r="I12" s="21">
        <v>0.69720402997025421</v>
      </c>
      <c r="J12" s="8">
        <f t="shared" si="1"/>
        <v>0.69717739169402448</v>
      </c>
      <c r="K12" s="8">
        <f t="shared" si="2"/>
        <v>0.72380667657804088</v>
      </c>
    </row>
    <row r="15" spans="4:15" x14ac:dyDescent="0.35">
      <c r="D15" s="30" t="s">
        <v>82</v>
      </c>
      <c r="E15" s="30"/>
      <c r="F15" s="8">
        <f>GEOMEAN(K4,K6:K12)</f>
        <v>0.52801232950262988</v>
      </c>
    </row>
    <row r="16" spans="4:15" x14ac:dyDescent="0.35">
      <c r="D16" s="30" t="s">
        <v>83</v>
      </c>
      <c r="E16" s="30"/>
      <c r="F16" s="8">
        <f>F15*(1-(H5/G5))</f>
        <v>0.47601720022091459</v>
      </c>
    </row>
    <row r="17" spans="4:6" ht="15.5" x14ac:dyDescent="0.35">
      <c r="D17" s="30" t="s">
        <v>84</v>
      </c>
      <c r="E17" s="30"/>
      <c r="F17" s="22">
        <f>F16*(1+(F5/E5)*(1-$O$3))</f>
        <v>0.47606365615185592</v>
      </c>
    </row>
  </sheetData>
  <mergeCells count="3">
    <mergeCell ref="D15:E15"/>
    <mergeCell ref="D16:E16"/>
    <mergeCell ref="D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428-F070-4447-AE0A-CF9311F8535E}">
  <dimension ref="C3:N15"/>
  <sheetViews>
    <sheetView tabSelected="1" topLeftCell="B1" workbookViewId="0">
      <selection activeCell="M12" sqref="M12"/>
    </sheetView>
  </sheetViews>
  <sheetFormatPr defaultRowHeight="14.5" x14ac:dyDescent="0.35"/>
  <cols>
    <col min="1" max="2" width="8.7265625" style="10"/>
    <col min="3" max="3" width="15.36328125" style="10" customWidth="1"/>
    <col min="4" max="4" width="11.453125" style="10" customWidth="1"/>
    <col min="5" max="6" width="8.7265625" style="10"/>
    <col min="7" max="7" width="15.6328125" style="10" customWidth="1"/>
    <col min="8" max="10" width="8.7265625" style="10"/>
    <col min="11" max="11" width="13.08984375" style="10" customWidth="1"/>
    <col min="12" max="12" width="15.81640625" style="10" customWidth="1"/>
    <col min="13" max="13" width="17.7265625" style="10" customWidth="1"/>
    <col min="14" max="14" width="11.36328125" style="10" customWidth="1"/>
    <col min="15" max="16384" width="8.7265625" style="10"/>
  </cols>
  <sheetData>
    <row r="3" spans="3:14" x14ac:dyDescent="0.35">
      <c r="J3" s="5" t="s">
        <v>67</v>
      </c>
      <c r="K3" s="5" t="s">
        <v>68</v>
      </c>
      <c r="L3" s="5" t="s">
        <v>81</v>
      </c>
      <c r="M3" s="5" t="s">
        <v>69</v>
      </c>
      <c r="N3" s="5" t="s">
        <v>70</v>
      </c>
    </row>
    <row r="4" spans="3:14" x14ac:dyDescent="0.35">
      <c r="C4" s="5" t="s">
        <v>66</v>
      </c>
      <c r="D4" s="8">
        <v>7.1790000000000003</v>
      </c>
      <c r="J4" s="5" t="s">
        <v>72</v>
      </c>
      <c r="K4" s="20">
        <v>192124.5</v>
      </c>
      <c r="L4" s="8">
        <v>25</v>
      </c>
      <c r="M4" s="20">
        <f t="shared" ref="M4" si="0">K4+L4</f>
        <v>192149.5</v>
      </c>
      <c r="N4" s="20">
        <v>18921.599999999999</v>
      </c>
    </row>
    <row r="5" spans="3:14" x14ac:dyDescent="0.35">
      <c r="C5" s="5" t="s">
        <v>64</v>
      </c>
      <c r="D5" s="8">
        <v>7.2224051940432297</v>
      </c>
    </row>
    <row r="6" spans="3:14" x14ac:dyDescent="0.35">
      <c r="C6" s="5" t="s">
        <v>65</v>
      </c>
      <c r="D6" s="8">
        <v>14.026525742321528</v>
      </c>
    </row>
    <row r="7" spans="3:14" x14ac:dyDescent="0.35">
      <c r="C7" s="5" t="s">
        <v>85</v>
      </c>
      <c r="D7" s="8">
        <v>0.47606365615185592</v>
      </c>
    </row>
    <row r="8" spans="3:14" x14ac:dyDescent="0.35">
      <c r="G8" s="5" t="s">
        <v>88</v>
      </c>
      <c r="H8" s="23" t="s">
        <v>89</v>
      </c>
    </row>
    <row r="9" spans="3:14" x14ac:dyDescent="0.35">
      <c r="C9" s="5" t="s">
        <v>86</v>
      </c>
      <c r="G9" s="5" t="s">
        <v>90</v>
      </c>
      <c r="H9" s="8">
        <v>1.42</v>
      </c>
    </row>
    <row r="10" spans="3:14" x14ac:dyDescent="0.35">
      <c r="C10" s="5" t="s">
        <v>87</v>
      </c>
      <c r="D10" s="8">
        <f>D4+D7*(D6-D5)</f>
        <v>10.418194505111337</v>
      </c>
      <c r="G10" s="5" t="s">
        <v>91</v>
      </c>
      <c r="H10" s="8">
        <f>D4+H9</f>
        <v>8.5990000000000002</v>
      </c>
    </row>
    <row r="15" spans="3:14" x14ac:dyDescent="0.35">
      <c r="D15" s="5" t="s">
        <v>92</v>
      </c>
      <c r="E15" s="8">
        <f>D10*(K4/M4)+H10*(1-0.25)*(L4/M4)</f>
        <v>10.417678117545261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Steps_Reason</vt:lpstr>
      <vt:lpstr>Regression Beta</vt:lpstr>
      <vt:lpstr>Peers Beta</vt:lpstr>
      <vt:lpstr>Rm-Rf</vt:lpstr>
      <vt:lpstr>Bottom-Up Beta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Rawat</dc:creator>
  <cp:lastModifiedBy>Deepanshu Rawat</cp:lastModifiedBy>
  <dcterms:created xsi:type="dcterms:W3CDTF">2023-12-21T09:22:47Z</dcterms:created>
  <dcterms:modified xsi:type="dcterms:W3CDTF">2024-11-08T18:18:07Z</dcterms:modified>
</cp:coreProperties>
</file>