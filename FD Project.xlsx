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IIMU 4th\FD\Project\"/>
    </mc:Choice>
  </mc:AlternateContent>
  <xr:revisionPtr revIDLastSave="0" documentId="13_ncr:1_{3021829B-C97A-4B55-8D0D-25715095CC2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butterfly spread" sheetId="1" r:id="rId1"/>
    <sheet name="Long straddle" sheetId="2" r:id="rId2"/>
    <sheet name="Short straddle" sheetId="3" r:id="rId3"/>
    <sheet name="Long strangle" sheetId="4" r:id="rId4"/>
    <sheet name="Short strang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F10" i="6"/>
  <c r="E10" i="6"/>
  <c r="F10" i="4"/>
  <c r="E10" i="4"/>
  <c r="C8" i="6"/>
  <c r="B8" i="6"/>
  <c r="C14" i="6" s="1"/>
  <c r="C7" i="6"/>
  <c r="C9" i="6" s="1"/>
  <c r="B7" i="6"/>
  <c r="H52" i="6" s="1"/>
  <c r="C8" i="4"/>
  <c r="B8" i="4"/>
  <c r="I52" i="4"/>
  <c r="I50" i="4"/>
  <c r="I48" i="4"/>
  <c r="H47" i="4"/>
  <c r="I46" i="4"/>
  <c r="H45" i="4"/>
  <c r="I44" i="4"/>
  <c r="I42" i="4"/>
  <c r="I40" i="4"/>
  <c r="H39" i="4"/>
  <c r="I38" i="4"/>
  <c r="H37" i="4"/>
  <c r="I36" i="4"/>
  <c r="C32" i="4"/>
  <c r="C30" i="4"/>
  <c r="B29" i="4"/>
  <c r="C28" i="4"/>
  <c r="B27" i="4"/>
  <c r="C26" i="4"/>
  <c r="C24" i="4"/>
  <c r="B23" i="4"/>
  <c r="C22" i="4"/>
  <c r="B21" i="4"/>
  <c r="C20" i="4"/>
  <c r="C18" i="4"/>
  <c r="B17" i="4"/>
  <c r="C16" i="4"/>
  <c r="C14" i="4"/>
  <c r="B13" i="4"/>
  <c r="C12" i="4"/>
  <c r="C7" i="4"/>
  <c r="B7" i="4"/>
  <c r="H49" i="4" s="1"/>
  <c r="I53" i="6" l="1"/>
  <c r="I51" i="6"/>
  <c r="I49" i="6"/>
  <c r="J49" i="6" s="1"/>
  <c r="K49" i="6" s="1"/>
  <c r="I47" i="6"/>
  <c r="I45" i="6"/>
  <c r="I43" i="6"/>
  <c r="I41" i="6"/>
  <c r="I39" i="6"/>
  <c r="I37" i="6"/>
  <c r="I35" i="6"/>
  <c r="C31" i="6"/>
  <c r="C29" i="6"/>
  <c r="C27" i="6"/>
  <c r="C25" i="6"/>
  <c r="C23" i="6"/>
  <c r="C21" i="6"/>
  <c r="C19" i="6"/>
  <c r="C17" i="6"/>
  <c r="C15" i="6"/>
  <c r="C13" i="6"/>
  <c r="B12" i="6"/>
  <c r="B16" i="6"/>
  <c r="B20" i="6"/>
  <c r="B24" i="6"/>
  <c r="B32" i="6"/>
  <c r="H42" i="6"/>
  <c r="H50" i="6"/>
  <c r="C12" i="6"/>
  <c r="C20" i="6"/>
  <c r="D20" i="6" s="1"/>
  <c r="E20" i="6" s="1"/>
  <c r="C24" i="6"/>
  <c r="C32" i="6"/>
  <c r="I38" i="6"/>
  <c r="I42" i="6"/>
  <c r="I46" i="6"/>
  <c r="B28" i="6"/>
  <c r="H38" i="6"/>
  <c r="H46" i="6"/>
  <c r="C16" i="6"/>
  <c r="D16" i="6" s="1"/>
  <c r="E16" i="6" s="1"/>
  <c r="C28" i="6"/>
  <c r="I50" i="6"/>
  <c r="H53" i="6"/>
  <c r="H51" i="6"/>
  <c r="H49" i="6"/>
  <c r="H47" i="6"/>
  <c r="H45" i="6"/>
  <c r="H43" i="6"/>
  <c r="H41" i="6"/>
  <c r="H39" i="6"/>
  <c r="H37" i="6"/>
  <c r="H35" i="6"/>
  <c r="B31" i="6"/>
  <c r="B29" i="6"/>
  <c r="B27" i="6"/>
  <c r="B25" i="6"/>
  <c r="B23" i="6"/>
  <c r="B21" i="6"/>
  <c r="B19" i="6"/>
  <c r="B17" i="6"/>
  <c r="B15" i="6"/>
  <c r="B13" i="6"/>
  <c r="B14" i="6"/>
  <c r="D14" i="6" s="1"/>
  <c r="E14" i="6" s="1"/>
  <c r="B18" i="6"/>
  <c r="B22" i="6"/>
  <c r="B26" i="6"/>
  <c r="B30" i="6"/>
  <c r="H36" i="6"/>
  <c r="H40" i="6"/>
  <c r="H44" i="6"/>
  <c r="H48" i="6"/>
  <c r="I52" i="6"/>
  <c r="J52" i="6" s="1"/>
  <c r="K52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I36" i="6"/>
  <c r="J36" i="6" s="1"/>
  <c r="K36" i="6" s="1"/>
  <c r="I40" i="6"/>
  <c r="J40" i="6" s="1"/>
  <c r="K40" i="6" s="1"/>
  <c r="I44" i="6"/>
  <c r="J44" i="6" s="1"/>
  <c r="K44" i="6" s="1"/>
  <c r="I48" i="6"/>
  <c r="D18" i="4"/>
  <c r="D28" i="4"/>
  <c r="E28" i="4" s="1"/>
  <c r="J40" i="4"/>
  <c r="J48" i="4"/>
  <c r="K48" i="4" s="1"/>
  <c r="B19" i="4"/>
  <c r="B31" i="4"/>
  <c r="H41" i="4"/>
  <c r="H52" i="4"/>
  <c r="H50" i="4"/>
  <c r="H48" i="4"/>
  <c r="H46" i="4"/>
  <c r="J46" i="4" s="1"/>
  <c r="K46" i="4" s="1"/>
  <c r="H44" i="4"/>
  <c r="J44" i="4" s="1"/>
  <c r="K44" i="4" s="1"/>
  <c r="H42" i="4"/>
  <c r="J42" i="4" s="1"/>
  <c r="K42" i="4" s="1"/>
  <c r="H40" i="4"/>
  <c r="H38" i="4"/>
  <c r="J38" i="4" s="1"/>
  <c r="K38" i="4" s="1"/>
  <c r="H36" i="4"/>
  <c r="J36" i="4" s="1"/>
  <c r="B32" i="4"/>
  <c r="D32" i="4" s="1"/>
  <c r="E32" i="4" s="1"/>
  <c r="B30" i="4"/>
  <c r="D30" i="4" s="1"/>
  <c r="E30" i="4" s="1"/>
  <c r="B28" i="4"/>
  <c r="B26" i="4"/>
  <c r="D26" i="4" s="1"/>
  <c r="E26" i="4" s="1"/>
  <c r="B24" i="4"/>
  <c r="D24" i="4" s="1"/>
  <c r="E24" i="4" s="1"/>
  <c r="B22" i="4"/>
  <c r="D22" i="4" s="1"/>
  <c r="E22" i="4" s="1"/>
  <c r="B20" i="4"/>
  <c r="D20" i="4" s="1"/>
  <c r="E20" i="4" s="1"/>
  <c r="B18" i="4"/>
  <c r="B16" i="4"/>
  <c r="D16" i="4" s="1"/>
  <c r="E16" i="4" s="1"/>
  <c r="B14" i="4"/>
  <c r="D14" i="4" s="1"/>
  <c r="D12" i="4"/>
  <c r="E12" i="4" s="1"/>
  <c r="H53" i="4"/>
  <c r="H51" i="4"/>
  <c r="B25" i="4"/>
  <c r="J50" i="4"/>
  <c r="C9" i="4"/>
  <c r="B15" i="4"/>
  <c r="H35" i="4"/>
  <c r="H43" i="4"/>
  <c r="J52" i="4"/>
  <c r="C13" i="4"/>
  <c r="D13" i="4" s="1"/>
  <c r="C15" i="4"/>
  <c r="C17" i="4"/>
  <c r="D17" i="4" s="1"/>
  <c r="C19" i="4"/>
  <c r="C21" i="4"/>
  <c r="D21" i="4" s="1"/>
  <c r="E21" i="4" s="1"/>
  <c r="C23" i="4"/>
  <c r="D23" i="4" s="1"/>
  <c r="E23" i="4" s="1"/>
  <c r="C25" i="4"/>
  <c r="D25" i="4" s="1"/>
  <c r="E25" i="4" s="1"/>
  <c r="C27" i="4"/>
  <c r="D27" i="4" s="1"/>
  <c r="C29" i="4"/>
  <c r="D29" i="4" s="1"/>
  <c r="C31" i="4"/>
  <c r="D31" i="4" s="1"/>
  <c r="I35" i="4"/>
  <c r="I37" i="4"/>
  <c r="J37" i="4" s="1"/>
  <c r="I39" i="4"/>
  <c r="J39" i="4" s="1"/>
  <c r="K39" i="4" s="1"/>
  <c r="I41" i="4"/>
  <c r="J41" i="4" s="1"/>
  <c r="K41" i="4" s="1"/>
  <c r="I43" i="4"/>
  <c r="J43" i="4" s="1"/>
  <c r="K43" i="4" s="1"/>
  <c r="I45" i="4"/>
  <c r="J45" i="4" s="1"/>
  <c r="I47" i="4"/>
  <c r="J47" i="4" s="1"/>
  <c r="I49" i="4"/>
  <c r="J49" i="4" s="1"/>
  <c r="I51" i="4"/>
  <c r="I53" i="4"/>
  <c r="J45" i="6" l="1"/>
  <c r="K45" i="6" s="1"/>
  <c r="D13" i="6"/>
  <c r="E13" i="6" s="1"/>
  <c r="D31" i="6"/>
  <c r="E31" i="6" s="1"/>
  <c r="J35" i="6"/>
  <c r="K35" i="6" s="1"/>
  <c r="J50" i="6"/>
  <c r="K50" i="6" s="1"/>
  <c r="J38" i="6"/>
  <c r="K38" i="6" s="1"/>
  <c r="D21" i="6"/>
  <c r="E21" i="6" s="1"/>
  <c r="J39" i="6"/>
  <c r="K39" i="6" s="1"/>
  <c r="D27" i="6"/>
  <c r="E27" i="6" s="1"/>
  <c r="D12" i="6"/>
  <c r="E12" i="6" s="1"/>
  <c r="D29" i="6"/>
  <c r="E29" i="6" s="1"/>
  <c r="D17" i="6"/>
  <c r="E17" i="6" s="1"/>
  <c r="D19" i="6"/>
  <c r="E19" i="6" s="1"/>
  <c r="J53" i="6"/>
  <c r="K53" i="6" s="1"/>
  <c r="D28" i="6"/>
  <c r="E28" i="6" s="1"/>
  <c r="D32" i="6"/>
  <c r="E32" i="6" s="1"/>
  <c r="D23" i="6"/>
  <c r="E23" i="6" s="1"/>
  <c r="J41" i="6"/>
  <c r="K41" i="6" s="1"/>
  <c r="J47" i="6"/>
  <c r="K47" i="6" s="1"/>
  <c r="D15" i="6"/>
  <c r="E15" i="6" s="1"/>
  <c r="J46" i="6"/>
  <c r="K46" i="6" s="1"/>
  <c r="J51" i="6"/>
  <c r="K51" i="6" s="1"/>
  <c r="J42" i="6"/>
  <c r="K42" i="6" s="1"/>
  <c r="J37" i="6"/>
  <c r="K37" i="6" s="1"/>
  <c r="J48" i="6"/>
  <c r="K48" i="6" s="1"/>
  <c r="D24" i="6"/>
  <c r="E24" i="6" s="1"/>
  <c r="D25" i="6"/>
  <c r="E25" i="6" s="1"/>
  <c r="J43" i="6"/>
  <c r="K43" i="6" s="1"/>
  <c r="K36" i="4"/>
  <c r="E18" i="4"/>
  <c r="E14" i="4"/>
  <c r="K40" i="4"/>
  <c r="J51" i="4"/>
  <c r="K51" i="4" s="1"/>
  <c r="J35" i="4"/>
  <c r="K35" i="4" s="1"/>
  <c r="E17" i="4"/>
  <c r="K50" i="4"/>
  <c r="K37" i="4"/>
  <c r="K49" i="4"/>
  <c r="E31" i="4"/>
  <c r="D15" i="4"/>
  <c r="E15" i="4" s="1"/>
  <c r="J53" i="4"/>
  <c r="K53" i="4" s="1"/>
  <c r="K47" i="4"/>
  <c r="E29" i="4"/>
  <c r="E13" i="4"/>
  <c r="D19" i="4"/>
  <c r="E19" i="4" s="1"/>
  <c r="K45" i="4"/>
  <c r="E27" i="4"/>
  <c r="K52" i="4"/>
  <c r="H36" i="3" l="1"/>
  <c r="I36" i="3"/>
  <c r="H37" i="3"/>
  <c r="I37" i="3"/>
  <c r="J37" i="3" s="1"/>
  <c r="H38" i="3"/>
  <c r="I38" i="3"/>
  <c r="H39" i="3"/>
  <c r="I39" i="3"/>
  <c r="J39" i="3" s="1"/>
  <c r="K39" i="3" s="1"/>
  <c r="H40" i="3"/>
  <c r="I40" i="3"/>
  <c r="H41" i="3"/>
  <c r="I41" i="3"/>
  <c r="J41" i="3" s="1"/>
  <c r="H42" i="3"/>
  <c r="I42" i="3"/>
  <c r="H43" i="3"/>
  <c r="I43" i="3"/>
  <c r="H44" i="3"/>
  <c r="I44" i="3"/>
  <c r="H45" i="3"/>
  <c r="I45" i="3"/>
  <c r="H46" i="3"/>
  <c r="I46" i="3"/>
  <c r="H47" i="3"/>
  <c r="I47" i="3"/>
  <c r="J47" i="3" s="1"/>
  <c r="H48" i="3"/>
  <c r="I48" i="3"/>
  <c r="H49" i="3"/>
  <c r="I49" i="3"/>
  <c r="H50" i="3"/>
  <c r="I50" i="3"/>
  <c r="H51" i="3"/>
  <c r="I51" i="3"/>
  <c r="J51" i="3" s="1"/>
  <c r="H52" i="3"/>
  <c r="I52" i="3"/>
  <c r="H53" i="3"/>
  <c r="I53" i="3"/>
  <c r="J53" i="3" s="1"/>
  <c r="I35" i="3"/>
  <c r="H35" i="3"/>
  <c r="C13" i="3"/>
  <c r="C14" i="3"/>
  <c r="C15" i="3"/>
  <c r="D15" i="3" s="1"/>
  <c r="C16" i="3"/>
  <c r="C17" i="3"/>
  <c r="C18" i="3"/>
  <c r="C19" i="3"/>
  <c r="C20" i="3"/>
  <c r="C21" i="3"/>
  <c r="C22" i="3"/>
  <c r="C23" i="3"/>
  <c r="D23" i="3" s="1"/>
  <c r="C24" i="3"/>
  <c r="C25" i="3"/>
  <c r="C26" i="3"/>
  <c r="C27" i="3"/>
  <c r="C28" i="3"/>
  <c r="C29" i="3"/>
  <c r="C30" i="3"/>
  <c r="C31" i="3"/>
  <c r="D31" i="3" s="1"/>
  <c r="C32" i="3"/>
  <c r="C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12" i="3"/>
  <c r="C8" i="3"/>
  <c r="C7" i="3"/>
  <c r="J49" i="3"/>
  <c r="J45" i="3"/>
  <c r="J43" i="3"/>
  <c r="D27" i="3"/>
  <c r="D25" i="3"/>
  <c r="C9" i="3"/>
  <c r="B8" i="3"/>
  <c r="J52" i="3" s="1"/>
  <c r="K52" i="3" s="1"/>
  <c r="B7" i="3"/>
  <c r="G37" i="1"/>
  <c r="H37" i="1"/>
  <c r="I37" i="1"/>
  <c r="J37" i="1"/>
  <c r="K37" i="1"/>
  <c r="G38" i="1"/>
  <c r="J38" i="1" s="1"/>
  <c r="K38" i="1" s="1"/>
  <c r="H38" i="1"/>
  <c r="I38" i="1"/>
  <c r="G39" i="1"/>
  <c r="H39" i="1"/>
  <c r="I39" i="1"/>
  <c r="J39" i="1"/>
  <c r="K39" i="1"/>
  <c r="G40" i="1"/>
  <c r="J40" i="1" s="1"/>
  <c r="K40" i="1" s="1"/>
  <c r="H40" i="1"/>
  <c r="I40" i="1"/>
  <c r="G41" i="1"/>
  <c r="H41" i="1"/>
  <c r="I41" i="1"/>
  <c r="J41" i="1"/>
  <c r="K41" i="1" s="1"/>
  <c r="G42" i="1"/>
  <c r="H42" i="1"/>
  <c r="I42" i="1"/>
  <c r="J42" i="1"/>
  <c r="K42" i="1"/>
  <c r="G43" i="1"/>
  <c r="J43" i="1" s="1"/>
  <c r="K43" i="1" s="1"/>
  <c r="H43" i="1"/>
  <c r="I43" i="1"/>
  <c r="G44" i="1"/>
  <c r="H44" i="1"/>
  <c r="I44" i="1"/>
  <c r="J44" i="1"/>
  <c r="K44" i="1"/>
  <c r="G45" i="1"/>
  <c r="H45" i="1"/>
  <c r="I45" i="1"/>
  <c r="J45" i="1"/>
  <c r="K45" i="1"/>
  <c r="G46" i="1"/>
  <c r="J46" i="1" s="1"/>
  <c r="K46" i="1" s="1"/>
  <c r="H46" i="1"/>
  <c r="I46" i="1"/>
  <c r="G47" i="1"/>
  <c r="H47" i="1"/>
  <c r="I47" i="1"/>
  <c r="J47" i="1"/>
  <c r="K47" i="1"/>
  <c r="G48" i="1"/>
  <c r="J48" i="1" s="1"/>
  <c r="K48" i="1" s="1"/>
  <c r="H48" i="1"/>
  <c r="I48" i="1"/>
  <c r="G49" i="1"/>
  <c r="H49" i="1"/>
  <c r="I49" i="1"/>
  <c r="J49" i="1"/>
  <c r="K49" i="1" s="1"/>
  <c r="G50" i="1"/>
  <c r="H50" i="1"/>
  <c r="I50" i="1"/>
  <c r="J50" i="1"/>
  <c r="K50" i="1"/>
  <c r="G51" i="1"/>
  <c r="J51" i="1" s="1"/>
  <c r="K51" i="1" s="1"/>
  <c r="H51" i="1"/>
  <c r="I51" i="1"/>
  <c r="G52" i="1"/>
  <c r="H52" i="1"/>
  <c r="I52" i="1"/>
  <c r="J52" i="1"/>
  <c r="K52" i="1"/>
  <c r="G53" i="1"/>
  <c r="H53" i="1"/>
  <c r="I53" i="1"/>
  <c r="J53" i="1"/>
  <c r="K53" i="1"/>
  <c r="G54" i="1"/>
  <c r="J54" i="1" s="1"/>
  <c r="K54" i="1" s="1"/>
  <c r="H54" i="1"/>
  <c r="I54" i="1"/>
  <c r="I36" i="1"/>
  <c r="H36" i="1"/>
  <c r="G36" i="1"/>
  <c r="J36" i="1"/>
  <c r="K36" i="1" s="1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I35" i="2"/>
  <c r="J35" i="2" s="1"/>
  <c r="K35" i="2" s="1"/>
  <c r="H35" i="2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E33" i="1" s="1"/>
  <c r="C33" i="1"/>
  <c r="D33" i="1"/>
  <c r="C8" i="2"/>
  <c r="B8" i="2"/>
  <c r="C30" i="2" s="1"/>
  <c r="C7" i="2"/>
  <c r="C9" i="2" s="1"/>
  <c r="B7" i="2"/>
  <c r="B32" i="2" s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E16" i="1" s="1"/>
  <c r="D15" i="1"/>
  <c r="C15" i="1"/>
  <c r="B15" i="1"/>
  <c r="D14" i="1"/>
  <c r="C14" i="1"/>
  <c r="B14" i="1"/>
  <c r="D13" i="1"/>
  <c r="C13" i="1"/>
  <c r="B13" i="1"/>
  <c r="E10" i="1"/>
  <c r="E9" i="1"/>
  <c r="E7" i="1"/>
  <c r="J35" i="3" l="1"/>
  <c r="K35" i="3" s="1"/>
  <c r="D13" i="3"/>
  <c r="D17" i="3"/>
  <c r="D19" i="3"/>
  <c r="E19" i="3" s="1"/>
  <c r="D29" i="3"/>
  <c r="D21" i="3"/>
  <c r="E21" i="3" s="1"/>
  <c r="F10" i="3"/>
  <c r="E10" i="3"/>
  <c r="E27" i="3"/>
  <c r="K45" i="3"/>
  <c r="E17" i="3"/>
  <c r="K51" i="3"/>
  <c r="E23" i="3"/>
  <c r="K41" i="3"/>
  <c r="E13" i="3"/>
  <c r="E29" i="3"/>
  <c r="K47" i="3"/>
  <c r="K37" i="3"/>
  <c r="K53" i="3"/>
  <c r="E25" i="3"/>
  <c r="K43" i="3"/>
  <c r="E15" i="3"/>
  <c r="E31" i="3"/>
  <c r="K49" i="3"/>
  <c r="D12" i="3"/>
  <c r="E12" i="3" s="1"/>
  <c r="D14" i="3"/>
  <c r="E14" i="3" s="1"/>
  <c r="D16" i="3"/>
  <c r="E16" i="3" s="1"/>
  <c r="D18" i="3"/>
  <c r="E18" i="3" s="1"/>
  <c r="D20" i="3"/>
  <c r="E20" i="3" s="1"/>
  <c r="D22" i="3"/>
  <c r="E22" i="3" s="1"/>
  <c r="D24" i="3"/>
  <c r="E24" i="3" s="1"/>
  <c r="D26" i="3"/>
  <c r="E26" i="3" s="1"/>
  <c r="D28" i="3"/>
  <c r="E28" i="3" s="1"/>
  <c r="D30" i="3"/>
  <c r="E30" i="3" s="1"/>
  <c r="D32" i="3"/>
  <c r="E32" i="3" s="1"/>
  <c r="J36" i="3"/>
  <c r="K36" i="3" s="1"/>
  <c r="J38" i="3"/>
  <c r="K38" i="3" s="1"/>
  <c r="J40" i="3"/>
  <c r="K40" i="3" s="1"/>
  <c r="J42" i="3"/>
  <c r="K42" i="3" s="1"/>
  <c r="J44" i="3"/>
  <c r="K44" i="3" s="1"/>
  <c r="J46" i="3"/>
  <c r="K46" i="3" s="1"/>
  <c r="J48" i="3"/>
  <c r="K48" i="3" s="1"/>
  <c r="J50" i="3"/>
  <c r="K50" i="3" s="1"/>
  <c r="E32" i="1"/>
  <c r="F32" i="1" s="1"/>
  <c r="E23" i="1"/>
  <c r="E30" i="1"/>
  <c r="F30" i="1" s="1"/>
  <c r="E28" i="1"/>
  <c r="F33" i="1"/>
  <c r="E13" i="1"/>
  <c r="F13" i="1" s="1"/>
  <c r="E21" i="1"/>
  <c r="F21" i="1" s="1"/>
  <c r="F23" i="1"/>
  <c r="F16" i="1"/>
  <c r="E29" i="1"/>
  <c r="F29" i="1" s="1"/>
  <c r="E17" i="1"/>
  <c r="F17" i="1" s="1"/>
  <c r="E31" i="1"/>
  <c r="F31" i="1" s="1"/>
  <c r="F28" i="1"/>
  <c r="E25" i="1"/>
  <c r="F25" i="1" s="1"/>
  <c r="E24" i="1"/>
  <c r="F24" i="1" s="1"/>
  <c r="E19" i="1"/>
  <c r="F19" i="1" s="1"/>
  <c r="E27" i="1"/>
  <c r="E14" i="1"/>
  <c r="F14" i="1" s="1"/>
  <c r="E18" i="1"/>
  <c r="F18" i="1" s="1"/>
  <c r="E26" i="1"/>
  <c r="F26" i="1" s="1"/>
  <c r="F27" i="1"/>
  <c r="E15" i="1"/>
  <c r="F15" i="1" s="1"/>
  <c r="E20" i="1"/>
  <c r="F20" i="1" s="1"/>
  <c r="E22" i="1"/>
  <c r="F22" i="1" s="1"/>
  <c r="C15" i="2"/>
  <c r="C18" i="2"/>
  <c r="C23" i="2"/>
  <c r="C31" i="2"/>
  <c r="C16" i="2"/>
  <c r="C24" i="2"/>
  <c r="C32" i="2"/>
  <c r="D32" i="2" s="1"/>
  <c r="E32" i="2" s="1"/>
  <c r="C17" i="2"/>
  <c r="C25" i="2"/>
  <c r="B12" i="2"/>
  <c r="C19" i="2"/>
  <c r="C27" i="2"/>
  <c r="C26" i="2"/>
  <c r="C12" i="2"/>
  <c r="C20" i="2"/>
  <c r="C28" i="2"/>
  <c r="C13" i="2"/>
  <c r="C21" i="2"/>
  <c r="C29" i="2"/>
  <c r="C14" i="2"/>
  <c r="C22" i="2"/>
  <c r="E10" i="2"/>
  <c r="F10" i="2"/>
  <c r="B13" i="2"/>
  <c r="B17" i="2"/>
  <c r="B21" i="2"/>
  <c r="B25" i="2"/>
  <c r="B29" i="2"/>
  <c r="B15" i="2"/>
  <c r="B19" i="2"/>
  <c r="B23" i="2"/>
  <c r="B27" i="2"/>
  <c r="B31" i="2"/>
  <c r="B14" i="2"/>
  <c r="B16" i="2"/>
  <c r="B18" i="2"/>
  <c r="B20" i="2"/>
  <c r="B22" i="2"/>
  <c r="B24" i="2"/>
  <c r="B26" i="2"/>
  <c r="B28" i="2"/>
  <c r="B30" i="2"/>
  <c r="D30" i="2" s="1"/>
  <c r="E30" i="2" s="1"/>
  <c r="D15" i="2" l="1"/>
  <c r="E15" i="2" s="1"/>
  <c r="D23" i="2"/>
  <c r="E23" i="2" s="1"/>
  <c r="D27" i="2"/>
  <c r="E27" i="2" s="1"/>
  <c r="D18" i="2"/>
  <c r="E18" i="2" s="1"/>
  <c r="D21" i="2"/>
  <c r="E21" i="2" s="1"/>
  <c r="D12" i="2"/>
  <c r="E12" i="2" s="1"/>
  <c r="D17" i="2"/>
  <c r="E17" i="2" s="1"/>
  <c r="D19" i="2"/>
  <c r="E19" i="2" s="1"/>
  <c r="D16" i="2"/>
  <c r="E16" i="2" s="1"/>
  <c r="D14" i="2"/>
  <c r="E14" i="2" s="1"/>
  <c r="D26" i="2"/>
  <c r="E26" i="2" s="1"/>
  <c r="D31" i="2"/>
  <c r="E31" i="2" s="1"/>
  <c r="D20" i="2"/>
  <c r="E20" i="2" s="1"/>
  <c r="D13" i="2"/>
  <c r="E13" i="2" s="1"/>
  <c r="D28" i="2"/>
  <c r="E28" i="2" s="1"/>
  <c r="D25" i="2"/>
  <c r="E25" i="2" s="1"/>
  <c r="D24" i="2"/>
  <c r="E24" i="2" s="1"/>
  <c r="D29" i="2"/>
  <c r="E29" i="2" s="1"/>
  <c r="D22" i="2"/>
  <c r="E22" i="2" s="1"/>
</calcChain>
</file>

<file path=xl/sharedStrings.xml><?xml version="1.0" encoding="utf-8"?>
<sst xmlns="http://schemas.openxmlformats.org/spreadsheetml/2006/main" count="241" uniqueCount="61">
  <si>
    <t>Call options</t>
  </si>
  <si>
    <t>put options</t>
  </si>
  <si>
    <t>Strike</t>
  </si>
  <si>
    <t>Cost</t>
  </si>
  <si>
    <t>Butterfly spread portfolio using calls</t>
  </si>
  <si>
    <t>Payoffs</t>
  </si>
  <si>
    <t>S_T</t>
  </si>
  <si>
    <t>Net payoff</t>
  </si>
  <si>
    <t>Net profit</t>
  </si>
  <si>
    <t xml:space="preserve">Long call </t>
  </si>
  <si>
    <t>Long put</t>
  </si>
  <si>
    <t>Long straddle cost</t>
  </si>
  <si>
    <t>BankNifty</t>
  </si>
  <si>
    <t>Spot price</t>
  </si>
  <si>
    <t>Lot Size</t>
  </si>
  <si>
    <t>Expiry Date</t>
  </si>
  <si>
    <t>Long call at 51700</t>
  </si>
  <si>
    <t>Long put at 51700</t>
  </si>
  <si>
    <t>Date</t>
  </si>
  <si>
    <t>Price</t>
  </si>
  <si>
    <t>156.35M</t>
  </si>
  <si>
    <t>162.98M</t>
  </si>
  <si>
    <t>257.77M</t>
  </si>
  <si>
    <t>162.84M</t>
  </si>
  <si>
    <t>170.99M</t>
  </si>
  <si>
    <t>124.82M</t>
  </si>
  <si>
    <t>120.15M</t>
  </si>
  <si>
    <t>163.54M</t>
  </si>
  <si>
    <t>148.94M</t>
  </si>
  <si>
    <t>137.13M</t>
  </si>
  <si>
    <t>130.69M</t>
  </si>
  <si>
    <t>115.32M</t>
  </si>
  <si>
    <t>144.16M</t>
  </si>
  <si>
    <t>180.80M</t>
  </si>
  <si>
    <t>133.06M</t>
  </si>
  <si>
    <t>88.48M</t>
  </si>
  <si>
    <t>100.32M</t>
  </si>
  <si>
    <t>111.42M</t>
  </si>
  <si>
    <t>128.09M</t>
  </si>
  <si>
    <t>Open</t>
  </si>
  <si>
    <t>High</t>
  </si>
  <si>
    <t>Low</t>
  </si>
  <si>
    <t>Vol.</t>
  </si>
  <si>
    <t>Change %</t>
  </si>
  <si>
    <t>One long call position each in 51300 and 51700</t>
  </si>
  <si>
    <t>Two short call positions in 51500</t>
  </si>
  <si>
    <t>One long position in 51300</t>
  </si>
  <si>
    <t>One long position at 51700</t>
  </si>
  <si>
    <t>Two short position in 51500 call</t>
  </si>
  <si>
    <t>Exit Postion</t>
  </si>
  <si>
    <t>for-profit, the Price needs to be lower than 51700-1662.25, or higher than 51700+1662.25</t>
  </si>
  <si>
    <t xml:space="preserve">Short call </t>
  </si>
  <si>
    <t>Short put</t>
  </si>
  <si>
    <t>Short call at 51700</t>
  </si>
  <si>
    <t>Short put at 51700</t>
  </si>
  <si>
    <t>Short straddle cost</t>
  </si>
  <si>
    <t>for-profit, the Price needs to be higher than 51700-1662.25, or lower than 51700+1662.25</t>
  </si>
  <si>
    <t>Long put at 51500</t>
  </si>
  <si>
    <t>Short put at 51500</t>
  </si>
  <si>
    <t>for-profit, the Price needs to be lower than 51500-1587.95, or higher than 51700+1587.95</t>
  </si>
  <si>
    <t>for-profit, the Price needs to be higher than 51500-1587.95, or lower than 51700+1587.95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</si>
</sst>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0" fillId="0" borderId="1" xfId="0" applyBorder="1"/>
    <xf numFmtId="2" fontId="0" fillId="0" borderId="0" xfId="0" applyNumberFormat="1"/>
    <xf numFmtId="4" fontId="0" fillId="0" borderId="0" xfId="0" applyNumberFormat="1"/>
    <xf numFmtId="0" fontId="0" fillId="2" borderId="1" xfId="0" applyFill="1" applyBorder="1"/>
    <xf numFmtId="14" fontId="0" fillId="0" borderId="0" xfId="0" applyNumberFormat="1"/>
    <xf numFmtId="4" fontId="0" fillId="0" borderId="1" xfId="0" applyNumberFormat="1" applyBorder="1"/>
    <xf numFmtId="4" fontId="0" fillId="2" borderId="1" xfId="0" applyNumberFormat="1" applyFill="1" applyBorder="1"/>
    <xf numFmtId="14" fontId="0" fillId="0" borderId="1" xfId="0" applyNumberFormat="1" applyBorder="1"/>
    <xf numFmtId="10" fontId="0" fillId="0" borderId="1" xfId="0" applyNumberFormat="1" applyBorder="1"/>
    <xf numFmtId="14" fontId="0" fillId="2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0" borderId="0" xfId="0" applyFont="1"/>
    <xf numFmtId="0" fontId="0" fillId="2" borderId="1" xfId="0" applyFill="1" applyBorder="1" applyAlignment="1">
      <alignment vertical="center" wrapText="1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spread'!$B$12</c:f>
              <c:strCache>
                <c:ptCount val="1"/>
                <c:pt idx="0">
                  <c:v>One long position in 51300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spread'!$B$13:$B$33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1200</c:v>
                </c:pt>
                <c:pt idx="16">
                  <c:v>1400</c:v>
                </c:pt>
                <c:pt idx="17">
                  <c:v>1600</c:v>
                </c:pt>
                <c:pt idx="18">
                  <c:v>1800</c:v>
                </c:pt>
                <c:pt idx="19">
                  <c:v>2000</c:v>
                </c:pt>
                <c:pt idx="20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3-4D2B-AC40-2A4295CE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11072"/>
        <c:axId val="413809152"/>
      </c:lineChart>
      <c:catAx>
        <c:axId val="4138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09152"/>
        <c:crosses val="autoZero"/>
        <c:auto val="1"/>
        <c:lblAlgn val="ctr"/>
        <c:lblOffset val="100"/>
        <c:noMultiLvlLbl val="0"/>
      </c:catAx>
      <c:valAx>
        <c:axId val="4138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1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spread'!$C$12</c:f>
              <c:strCache>
                <c:ptCount val="1"/>
                <c:pt idx="0">
                  <c:v>One long position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spread'!$C$13:$C$33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6-4424-95B4-3663C091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29312"/>
        <c:axId val="413836032"/>
      </c:lineChart>
      <c:catAx>
        <c:axId val="4138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36032"/>
        <c:crosses val="autoZero"/>
        <c:auto val="1"/>
        <c:lblAlgn val="ctr"/>
        <c:lblOffset val="100"/>
        <c:noMultiLvlLbl val="0"/>
      </c:catAx>
      <c:valAx>
        <c:axId val="4138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spread'!$D$12</c:f>
              <c:strCache>
                <c:ptCount val="1"/>
                <c:pt idx="0">
                  <c:v>Two short position in 51500 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spread'!$D$13:$D$33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-400</c:v>
                </c:pt>
                <c:pt idx="12">
                  <c:v>-800</c:v>
                </c:pt>
                <c:pt idx="13">
                  <c:v>-1200</c:v>
                </c:pt>
                <c:pt idx="14">
                  <c:v>-1600</c:v>
                </c:pt>
                <c:pt idx="15">
                  <c:v>-2000</c:v>
                </c:pt>
                <c:pt idx="16">
                  <c:v>-2400</c:v>
                </c:pt>
                <c:pt idx="17">
                  <c:v>-2800</c:v>
                </c:pt>
                <c:pt idx="18">
                  <c:v>-3200</c:v>
                </c:pt>
                <c:pt idx="19">
                  <c:v>-3600</c:v>
                </c:pt>
                <c:pt idx="20">
                  <c:v>-4000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B-4CC4-89D1-14178E9D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31232"/>
        <c:axId val="413814912"/>
      </c:lineChart>
      <c:catAx>
        <c:axId val="41383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14912"/>
        <c:crosses val="autoZero"/>
        <c:auto val="1"/>
        <c:lblAlgn val="ctr"/>
        <c:lblOffset val="100"/>
        <c:noMultiLvlLbl val="0"/>
      </c:catAx>
      <c:valAx>
        <c:axId val="4138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3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spread'!$E$12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spread'!$E$13:$E$33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4-4A61-B342-4C4EA29E2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28352"/>
        <c:axId val="413831712"/>
      </c:lineChart>
      <c:catAx>
        <c:axId val="4138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31712"/>
        <c:crosses val="autoZero"/>
        <c:auto val="1"/>
        <c:lblAlgn val="ctr"/>
        <c:lblOffset val="100"/>
        <c:noMultiLvlLbl val="0"/>
      </c:catAx>
      <c:valAx>
        <c:axId val="4138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spread'!$F$12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spread'!$F$13:$F$33</c:f>
              <c:numCache>
                <c:formatCode>General</c:formatCode>
                <c:ptCount val="21"/>
                <c:pt idx="0">
                  <c:v>-76.199999999999818</c:v>
                </c:pt>
                <c:pt idx="1">
                  <c:v>-76.199999999999818</c:v>
                </c:pt>
                <c:pt idx="2">
                  <c:v>-76.199999999999818</c:v>
                </c:pt>
                <c:pt idx="3">
                  <c:v>-76.199999999999818</c:v>
                </c:pt>
                <c:pt idx="4">
                  <c:v>-76.199999999999818</c:v>
                </c:pt>
                <c:pt idx="5">
                  <c:v>-76.199999999999818</c:v>
                </c:pt>
                <c:pt idx="6">
                  <c:v>-76.199999999999818</c:v>
                </c:pt>
                <c:pt idx="7">
                  <c:v>-76.199999999999818</c:v>
                </c:pt>
                <c:pt idx="8">
                  <c:v>-76.199999999999818</c:v>
                </c:pt>
                <c:pt idx="9">
                  <c:v>-76.199999999999818</c:v>
                </c:pt>
                <c:pt idx="10">
                  <c:v>123.80000000000018</c:v>
                </c:pt>
                <c:pt idx="11">
                  <c:v>-76.199999999999818</c:v>
                </c:pt>
                <c:pt idx="12">
                  <c:v>-76.199999999999818</c:v>
                </c:pt>
                <c:pt idx="13">
                  <c:v>-76.199999999999818</c:v>
                </c:pt>
                <c:pt idx="14">
                  <c:v>-76.199999999999818</c:v>
                </c:pt>
                <c:pt idx="15">
                  <c:v>-76.199999999999818</c:v>
                </c:pt>
                <c:pt idx="16">
                  <c:v>-76.199999999999818</c:v>
                </c:pt>
                <c:pt idx="17">
                  <c:v>-76.199999999999818</c:v>
                </c:pt>
                <c:pt idx="18">
                  <c:v>-76.199999999999818</c:v>
                </c:pt>
                <c:pt idx="19">
                  <c:v>-76.199999999999818</c:v>
                </c:pt>
                <c:pt idx="20">
                  <c:v>-76.199999999999818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C-4306-AFB0-5FE014AB6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28832"/>
        <c:axId val="413832672"/>
      </c:lineChart>
      <c:catAx>
        <c:axId val="4138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32672"/>
        <c:crosses val="autoZero"/>
        <c:auto val="1"/>
        <c:lblAlgn val="ctr"/>
        <c:lblOffset val="100"/>
        <c:noMultiLvlLbl val="0"/>
      </c:catAx>
      <c:valAx>
        <c:axId val="41383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spread'!$B$12</c:f>
              <c:strCache>
                <c:ptCount val="1"/>
                <c:pt idx="0">
                  <c:v>One long position in 51300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spread'!$B$13:$B$33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  <c:pt idx="15">
                  <c:v>1200</c:v>
                </c:pt>
                <c:pt idx="16">
                  <c:v>1400</c:v>
                </c:pt>
                <c:pt idx="17">
                  <c:v>1600</c:v>
                </c:pt>
                <c:pt idx="18">
                  <c:v>1800</c:v>
                </c:pt>
                <c:pt idx="19">
                  <c:v>2000</c:v>
                </c:pt>
                <c:pt idx="20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E-4977-8216-08FD65ED0B79}"/>
            </c:ext>
          </c:extLst>
        </c:ser>
        <c:ser>
          <c:idx val="1"/>
          <c:order val="1"/>
          <c:tx>
            <c:strRef>
              <c:f>'butterfly spread'!$C$12</c:f>
              <c:strCache>
                <c:ptCount val="1"/>
                <c:pt idx="0">
                  <c:v>One long position at 51700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spread'!$C$13:$C$33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E-4977-8216-08FD65ED0B79}"/>
            </c:ext>
          </c:extLst>
        </c:ser>
        <c:ser>
          <c:idx val="2"/>
          <c:order val="2"/>
          <c:tx>
            <c:strRef>
              <c:f>'butterfly spread'!$D$12</c:f>
              <c:strCache>
                <c:ptCount val="1"/>
                <c:pt idx="0">
                  <c:v>Two short position in 51500 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spread'!$D$13:$D$33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-400</c:v>
                </c:pt>
                <c:pt idx="12">
                  <c:v>-800</c:v>
                </c:pt>
                <c:pt idx="13">
                  <c:v>-1200</c:v>
                </c:pt>
                <c:pt idx="14">
                  <c:v>-1600</c:v>
                </c:pt>
                <c:pt idx="15">
                  <c:v>-2000</c:v>
                </c:pt>
                <c:pt idx="16">
                  <c:v>-2400</c:v>
                </c:pt>
                <c:pt idx="17">
                  <c:v>-2800</c:v>
                </c:pt>
                <c:pt idx="18">
                  <c:v>-3200</c:v>
                </c:pt>
                <c:pt idx="19">
                  <c:v>-3600</c:v>
                </c:pt>
                <c:pt idx="20">
                  <c:v>-4000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E-4977-8216-08FD65ED0B79}"/>
            </c:ext>
          </c:extLst>
        </c:ser>
        <c:ser>
          <c:idx val="3"/>
          <c:order val="3"/>
          <c:tx>
            <c:strRef>
              <c:f>'butterfly spread'!$E$12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spread'!$E$13:$E$33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DE-4977-8216-08FD65ED0B79}"/>
            </c:ext>
          </c:extLst>
        </c:ser>
        <c:ser>
          <c:idx val="4"/>
          <c:order val="4"/>
          <c:tx>
            <c:strRef>
              <c:f>'butterfly spread'!$F$12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spread'!$A$13:$A$33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'butterfly spread'!$F$13:$F$33</c:f>
              <c:numCache>
                <c:formatCode>General</c:formatCode>
                <c:ptCount val="21"/>
                <c:pt idx="0">
                  <c:v>-76.199999999999818</c:v>
                </c:pt>
                <c:pt idx="1">
                  <c:v>-76.199999999999818</c:v>
                </c:pt>
                <c:pt idx="2">
                  <c:v>-76.199999999999818</c:v>
                </c:pt>
                <c:pt idx="3">
                  <c:v>-76.199999999999818</c:v>
                </c:pt>
                <c:pt idx="4">
                  <c:v>-76.199999999999818</c:v>
                </c:pt>
                <c:pt idx="5">
                  <c:v>-76.199999999999818</c:v>
                </c:pt>
                <c:pt idx="6">
                  <c:v>-76.199999999999818</c:v>
                </c:pt>
                <c:pt idx="7">
                  <c:v>-76.199999999999818</c:v>
                </c:pt>
                <c:pt idx="8">
                  <c:v>-76.199999999999818</c:v>
                </c:pt>
                <c:pt idx="9">
                  <c:v>-76.199999999999818</c:v>
                </c:pt>
                <c:pt idx="10">
                  <c:v>123.80000000000018</c:v>
                </c:pt>
                <c:pt idx="11">
                  <c:v>-76.199999999999818</c:v>
                </c:pt>
                <c:pt idx="12">
                  <c:v>-76.199999999999818</c:v>
                </c:pt>
                <c:pt idx="13">
                  <c:v>-76.199999999999818</c:v>
                </c:pt>
                <c:pt idx="14">
                  <c:v>-76.199999999999818</c:v>
                </c:pt>
                <c:pt idx="15">
                  <c:v>-76.199999999999818</c:v>
                </c:pt>
                <c:pt idx="16">
                  <c:v>-76.199999999999818</c:v>
                </c:pt>
                <c:pt idx="17">
                  <c:v>-76.199999999999818</c:v>
                </c:pt>
                <c:pt idx="18">
                  <c:v>-76.199999999999818</c:v>
                </c:pt>
                <c:pt idx="19">
                  <c:v>-76.199999999999818</c:v>
                </c:pt>
                <c:pt idx="20">
                  <c:v>-76.199999999999818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DE-4977-8216-08FD65ED0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21632"/>
        <c:axId val="413820672"/>
      </c:lineChart>
      <c:catAx>
        <c:axId val="41382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0672"/>
        <c:crosses val="autoZero"/>
        <c:auto val="1"/>
        <c:lblAlgn val="ctr"/>
        <c:lblOffset val="100"/>
        <c:noMultiLvlLbl val="0"/>
      </c:catAx>
      <c:valAx>
        <c:axId val="413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spread'!$B$35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spread'!$A$36:$A$54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'butterfly spread'!$B$36:$B$54</c:f>
              <c:numCache>
                <c:formatCode>#,##0.00</c:formatCode>
                <c:ptCount val="19"/>
                <c:pt idx="0">
                  <c:v>51564</c:v>
                </c:pt>
                <c:pt idx="1">
                  <c:v>51350.15</c:v>
                </c:pt>
                <c:pt idx="2">
                  <c:v>50092.1</c:v>
                </c:pt>
                <c:pt idx="3">
                  <c:v>49748.3</c:v>
                </c:pt>
                <c:pt idx="4">
                  <c:v>50119</c:v>
                </c:pt>
                <c:pt idx="5">
                  <c:v>50156.7</c:v>
                </c:pt>
                <c:pt idx="6">
                  <c:v>50484.5</c:v>
                </c:pt>
                <c:pt idx="7">
                  <c:v>50577.95</c:v>
                </c:pt>
                <c:pt idx="8">
                  <c:v>49831.85</c:v>
                </c:pt>
                <c:pt idx="9">
                  <c:v>49727.3</c:v>
                </c:pt>
                <c:pt idx="10">
                  <c:v>50516.9</c:v>
                </c:pt>
                <c:pt idx="11">
                  <c:v>50368.35</c:v>
                </c:pt>
                <c:pt idx="12">
                  <c:v>50803.15</c:v>
                </c:pt>
                <c:pt idx="13">
                  <c:v>50685.55</c:v>
                </c:pt>
                <c:pt idx="14">
                  <c:v>50985.7</c:v>
                </c:pt>
                <c:pt idx="15">
                  <c:v>50933.45</c:v>
                </c:pt>
                <c:pt idx="16">
                  <c:v>51148.1</c:v>
                </c:pt>
                <c:pt idx="17">
                  <c:v>51278.75</c:v>
                </c:pt>
                <c:pt idx="18">
                  <c:v>51143.85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6-4271-A9E2-AFA3030E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26048"/>
        <c:axId val="272935648"/>
      </c:lineChart>
      <c:dateAx>
        <c:axId val="272926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5648"/>
        <c:crosses val="autoZero"/>
        <c:auto val="1"/>
        <c:lblOffset val="100"/>
        <c:baseTimeUnit val="days"/>
      </c:dateAx>
      <c:valAx>
        <c:axId val="2729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'butterfly spread'!$J$35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spread'!$A$36:$A$54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'butterfly spread'!$J$36:$J$54</c:f>
              <c:numCache>
                <c:formatCode>General</c:formatCode>
                <c:ptCount val="19"/>
                <c:pt idx="0">
                  <c:v>136</c:v>
                </c:pt>
                <c:pt idx="1">
                  <c:v>50.150000000001455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9-42CB-98FF-480881A384C9}"/>
            </c:ext>
          </c:extLst>
        </c:ser>
        <c:ser>
          <c:idx val="1"/>
          <c:order val="1"/>
          <c:tx>
            <c:strRef>
              <c:f>'butterfly spread'!$K$35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'butterfly spread'!$A$36:$A$54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'butterfly spread'!$K$36:$K$54</c:f>
              <c:numCache>
                <c:formatCode>General</c:formatCode>
                <c:ptCount val="19"/>
                <c:pt idx="0">
                  <c:v>59.800000000000182</c:v>
                </c:pt>
                <c:pt idx="1">
                  <c:v>-26.049999999998363</c:v>
                </c:pt>
                <c:pt idx="2">
                  <c:v>-76.199999999999818</c:v>
                </c:pt>
                <c:pt idx="3">
                  <c:v>-76.199999999999818</c:v>
                </c:pt>
                <c:pt idx="4">
                  <c:v>-76.199999999999818</c:v>
                </c:pt>
                <c:pt idx="5">
                  <c:v>-76.199999999999818</c:v>
                </c:pt>
                <c:pt idx="6">
                  <c:v>-76.199999999999818</c:v>
                </c:pt>
                <c:pt idx="7">
                  <c:v>-76.199999999999818</c:v>
                </c:pt>
                <c:pt idx="8">
                  <c:v>-76.199999999999818</c:v>
                </c:pt>
                <c:pt idx="9">
                  <c:v>-76.199999999999818</c:v>
                </c:pt>
                <c:pt idx="10">
                  <c:v>-76.199999999999818</c:v>
                </c:pt>
                <c:pt idx="11">
                  <c:v>-76.199999999999818</c:v>
                </c:pt>
                <c:pt idx="12">
                  <c:v>-76.199999999999818</c:v>
                </c:pt>
                <c:pt idx="13">
                  <c:v>-76.199999999999818</c:v>
                </c:pt>
                <c:pt idx="14">
                  <c:v>-76.199999999999818</c:v>
                </c:pt>
                <c:pt idx="15">
                  <c:v>-76.199999999999818</c:v>
                </c:pt>
                <c:pt idx="16">
                  <c:v>-76.199999999999818</c:v>
                </c:pt>
                <c:pt idx="17">
                  <c:v>-76.199999999999818</c:v>
                </c:pt>
                <c:pt idx="18">
                  <c:v>-76.199999999999818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9-42CB-98FF-480881A3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8768"/>
        <c:axId val="272919808"/>
      </c:lineChart>
      <c:dateAx>
        <c:axId val="272908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9808"/>
        <c:crosses val="autoZero"/>
        <c:auto val="1"/>
        <c:lblOffset val="100"/>
        <c:baseTimeUnit val="days"/>
      </c:dateAx>
      <c:valAx>
        <c:axId val="2729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straddle'!$B$11</c:f>
              <c:strCache>
                <c:ptCount val="1"/>
                <c:pt idx="0">
                  <c:v>Long call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straddle'!$B$12:$B$32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C-4928-BE9A-180E41F4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7808"/>
        <c:axId val="272927488"/>
      </c:lineChart>
      <c:catAx>
        <c:axId val="2729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7488"/>
        <c:crosses val="autoZero"/>
        <c:auto val="1"/>
        <c:lblAlgn val="ctr"/>
        <c:lblOffset val="100"/>
        <c:noMultiLvlLbl val="0"/>
      </c:catAx>
      <c:valAx>
        <c:axId val="2729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straddle'!$C$11</c:f>
              <c:strCache>
                <c:ptCount val="1"/>
                <c:pt idx="0">
                  <c:v>Long put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straddle'!$C$12:$C$32</c:f>
              <c:numCache>
                <c:formatCode>General</c:formatCode>
                <c:ptCount val="21"/>
                <c:pt idx="0">
                  <c:v>2200</c:v>
                </c:pt>
                <c:pt idx="1">
                  <c:v>2000</c:v>
                </c:pt>
                <c:pt idx="2">
                  <c:v>1800</c:v>
                </c:pt>
                <c:pt idx="3">
                  <c:v>1600</c:v>
                </c:pt>
                <c:pt idx="4">
                  <c:v>1400</c:v>
                </c:pt>
                <c:pt idx="5">
                  <c:v>1200</c:v>
                </c:pt>
                <c:pt idx="6">
                  <c:v>1000</c:v>
                </c:pt>
                <c:pt idx="7">
                  <c:v>800</c:v>
                </c:pt>
                <c:pt idx="8">
                  <c:v>600</c:v>
                </c:pt>
                <c:pt idx="9">
                  <c:v>400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A-4CB2-BFCA-7653A4DCD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40"/>
        <c:axId val="487520"/>
      </c:lineChart>
      <c:catAx>
        <c:axId val="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0"/>
        <c:crosses val="autoZero"/>
        <c:auto val="1"/>
        <c:lblAlgn val="ctr"/>
        <c:lblOffset val="100"/>
        <c:noMultiLvlLbl val="0"/>
      </c:catAx>
      <c:valAx>
        <c:axId val="4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6984251968503934"/>
          <c:h val="0.66114428404782732"/>
        </c:manualLayout>
      </c:layout>
      <c:lineChart>
        <c:grouping val="standard"/>
        <c:varyColors val="0"/>
        <c:ser>
          <c:idx val="0"/>
          <c:order val="0"/>
          <c:tx>
            <c:strRef>
              <c:f>'Long straddle'!$D$11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straddle'!$D$12:$D$32</c:f>
              <c:numCache>
                <c:formatCode>General</c:formatCode>
                <c:ptCount val="21"/>
                <c:pt idx="0">
                  <c:v>2200</c:v>
                </c:pt>
                <c:pt idx="1">
                  <c:v>2000</c:v>
                </c:pt>
                <c:pt idx="2">
                  <c:v>1800</c:v>
                </c:pt>
                <c:pt idx="3">
                  <c:v>1600</c:v>
                </c:pt>
                <c:pt idx="4">
                  <c:v>1400</c:v>
                </c:pt>
                <c:pt idx="5">
                  <c:v>1200</c:v>
                </c:pt>
                <c:pt idx="6">
                  <c:v>1000</c:v>
                </c:pt>
                <c:pt idx="7">
                  <c:v>800</c:v>
                </c:pt>
                <c:pt idx="8">
                  <c:v>600</c:v>
                </c:pt>
                <c:pt idx="9">
                  <c:v>400</c:v>
                </c:pt>
                <c:pt idx="10">
                  <c:v>200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A-4DB3-85AA-41EE2476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9248"/>
        <c:axId val="272910208"/>
      </c:lineChart>
      <c:catAx>
        <c:axId val="2729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0208"/>
        <c:crosses val="autoZero"/>
        <c:auto val="1"/>
        <c:lblAlgn val="ctr"/>
        <c:lblOffset val="100"/>
        <c:noMultiLvlLbl val="0"/>
      </c:catAx>
      <c:valAx>
        <c:axId val="2729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straddle'!$E$12:$E$32</c:f>
              <c:numCache>
                <c:formatCode>General</c:formatCode>
                <c:ptCount val="21"/>
                <c:pt idx="0">
                  <c:v>537.75</c:v>
                </c:pt>
                <c:pt idx="1">
                  <c:v>337.75</c:v>
                </c:pt>
                <c:pt idx="2">
                  <c:v>137.75</c:v>
                </c:pt>
                <c:pt idx="3">
                  <c:v>-62.25</c:v>
                </c:pt>
                <c:pt idx="4">
                  <c:v>-262.25</c:v>
                </c:pt>
                <c:pt idx="5">
                  <c:v>-462.25</c:v>
                </c:pt>
                <c:pt idx="6">
                  <c:v>-662.25</c:v>
                </c:pt>
                <c:pt idx="7">
                  <c:v>-862.25</c:v>
                </c:pt>
                <c:pt idx="8">
                  <c:v>-1062.25</c:v>
                </c:pt>
                <c:pt idx="9">
                  <c:v>-1262.25</c:v>
                </c:pt>
                <c:pt idx="10">
                  <c:v>-1462.25</c:v>
                </c:pt>
                <c:pt idx="11">
                  <c:v>-1662.25</c:v>
                </c:pt>
                <c:pt idx="12">
                  <c:v>-1462.25</c:v>
                </c:pt>
                <c:pt idx="13">
                  <c:v>-1262.25</c:v>
                </c:pt>
                <c:pt idx="14">
                  <c:v>-1062.25</c:v>
                </c:pt>
                <c:pt idx="15">
                  <c:v>-862.25</c:v>
                </c:pt>
                <c:pt idx="16">
                  <c:v>-662.25</c:v>
                </c:pt>
                <c:pt idx="17">
                  <c:v>-462.25</c:v>
                </c:pt>
                <c:pt idx="18">
                  <c:v>-262.25</c:v>
                </c:pt>
                <c:pt idx="19">
                  <c:v>-62.25</c:v>
                </c:pt>
                <c:pt idx="20">
                  <c:v>137.75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1-4A88-8535-FC2F1C237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25568"/>
        <c:axId val="272917408"/>
      </c:lineChart>
      <c:catAx>
        <c:axId val="2729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7408"/>
        <c:crosses val="autoZero"/>
        <c:auto val="1"/>
        <c:lblAlgn val="ctr"/>
        <c:lblOffset val="100"/>
        <c:noMultiLvlLbl val="0"/>
      </c:catAx>
      <c:valAx>
        <c:axId val="2729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'Long straddle'!$B$11</c:f>
              <c:strCache>
                <c:ptCount val="1"/>
                <c:pt idx="0">
                  <c:v>Long call at 51700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straddle'!$B$12:$B$32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2-47FF-A95A-5930235BC015}"/>
            </c:ext>
          </c:extLst>
        </c:ser>
        <c:ser>
          <c:idx val="1"/>
          <c:order val="1"/>
          <c:tx>
            <c:strRef>
              <c:f>'Long straddle'!$C$11</c:f>
              <c:strCache>
                <c:ptCount val="1"/>
                <c:pt idx="0">
                  <c:v>Long put at 51700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straddle'!$C$12:$C$32</c:f>
              <c:numCache>
                <c:formatCode>General</c:formatCode>
                <c:ptCount val="21"/>
                <c:pt idx="0">
                  <c:v>2200</c:v>
                </c:pt>
                <c:pt idx="1">
                  <c:v>2000</c:v>
                </c:pt>
                <c:pt idx="2">
                  <c:v>1800</c:v>
                </c:pt>
                <c:pt idx="3">
                  <c:v>1600</c:v>
                </c:pt>
                <c:pt idx="4">
                  <c:v>1400</c:v>
                </c:pt>
                <c:pt idx="5">
                  <c:v>1200</c:v>
                </c:pt>
                <c:pt idx="6">
                  <c:v>1000</c:v>
                </c:pt>
                <c:pt idx="7">
                  <c:v>800</c:v>
                </c:pt>
                <c:pt idx="8">
                  <c:v>600</c:v>
                </c:pt>
                <c:pt idx="9">
                  <c:v>400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2-47FF-A95A-5930235BC015}"/>
            </c:ext>
          </c:extLst>
        </c:ser>
        <c:ser>
          <c:idx val="2"/>
          <c:order val="2"/>
          <c:tx>
            <c:strRef>
              <c:f>'Long straddle'!$D$11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straddle'!$D$12:$D$32</c:f>
              <c:numCache>
                <c:formatCode>General</c:formatCode>
                <c:ptCount val="21"/>
                <c:pt idx="0">
                  <c:v>2200</c:v>
                </c:pt>
                <c:pt idx="1">
                  <c:v>2000</c:v>
                </c:pt>
                <c:pt idx="2">
                  <c:v>1800</c:v>
                </c:pt>
                <c:pt idx="3">
                  <c:v>1600</c:v>
                </c:pt>
                <c:pt idx="4">
                  <c:v>1400</c:v>
                </c:pt>
                <c:pt idx="5">
                  <c:v>1200</c:v>
                </c:pt>
                <c:pt idx="6">
                  <c:v>1000</c:v>
                </c:pt>
                <c:pt idx="7">
                  <c:v>800</c:v>
                </c:pt>
                <c:pt idx="8">
                  <c:v>600</c:v>
                </c:pt>
                <c:pt idx="9">
                  <c:v>400</c:v>
                </c:pt>
                <c:pt idx="10">
                  <c:v>200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62-47FF-A95A-5930235BC015}"/>
            </c:ext>
          </c:extLst>
        </c:ser>
        <c:ser>
          <c:idx val="3"/>
          <c:order val="3"/>
          <c:tx>
            <c:strRef>
              <c:f>'Long straddle'!$E$11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'Long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straddle'!$E$12:$E$32</c:f>
              <c:numCache>
                <c:formatCode>General</c:formatCode>
                <c:ptCount val="21"/>
                <c:pt idx="0">
                  <c:v>537.75</c:v>
                </c:pt>
                <c:pt idx="1">
                  <c:v>337.75</c:v>
                </c:pt>
                <c:pt idx="2">
                  <c:v>137.75</c:v>
                </c:pt>
                <c:pt idx="3">
                  <c:v>-62.25</c:v>
                </c:pt>
                <c:pt idx="4">
                  <c:v>-262.25</c:v>
                </c:pt>
                <c:pt idx="5">
                  <c:v>-462.25</c:v>
                </c:pt>
                <c:pt idx="6">
                  <c:v>-662.25</c:v>
                </c:pt>
                <c:pt idx="7">
                  <c:v>-862.25</c:v>
                </c:pt>
                <c:pt idx="8">
                  <c:v>-1062.25</c:v>
                </c:pt>
                <c:pt idx="9">
                  <c:v>-1262.25</c:v>
                </c:pt>
                <c:pt idx="10">
                  <c:v>-1462.25</c:v>
                </c:pt>
                <c:pt idx="11">
                  <c:v>-1662.25</c:v>
                </c:pt>
                <c:pt idx="12">
                  <c:v>-1462.25</c:v>
                </c:pt>
                <c:pt idx="13">
                  <c:v>-1262.25</c:v>
                </c:pt>
                <c:pt idx="14">
                  <c:v>-1062.25</c:v>
                </c:pt>
                <c:pt idx="15">
                  <c:v>-862.25</c:v>
                </c:pt>
                <c:pt idx="16">
                  <c:v>-662.25</c:v>
                </c:pt>
                <c:pt idx="17">
                  <c:v>-462.25</c:v>
                </c:pt>
                <c:pt idx="18">
                  <c:v>-262.25</c:v>
                </c:pt>
                <c:pt idx="19">
                  <c:v>-62.25</c:v>
                </c:pt>
                <c:pt idx="20">
                  <c:v>137.75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62-47FF-A95A-5930235BC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70592"/>
        <c:axId val="413869632"/>
      </c:scatterChart>
      <c:valAx>
        <c:axId val="4138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69632"/>
        <c:crosses val="autoZero"/>
        <c:crossBetween val="midCat"/>
      </c:valAx>
      <c:valAx>
        <c:axId val="413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7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straddle'!$B$34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straddle'!$B$35:$B$53</c:f>
              <c:numCache>
                <c:formatCode>#,##0.00</c:formatCode>
                <c:ptCount val="19"/>
                <c:pt idx="0">
                  <c:v>51564</c:v>
                </c:pt>
                <c:pt idx="1">
                  <c:v>51350.15</c:v>
                </c:pt>
                <c:pt idx="2">
                  <c:v>50092.1</c:v>
                </c:pt>
                <c:pt idx="3">
                  <c:v>49748.3</c:v>
                </c:pt>
                <c:pt idx="4">
                  <c:v>50119</c:v>
                </c:pt>
                <c:pt idx="5">
                  <c:v>50156.7</c:v>
                </c:pt>
                <c:pt idx="6">
                  <c:v>50484.5</c:v>
                </c:pt>
                <c:pt idx="7">
                  <c:v>50577.95</c:v>
                </c:pt>
                <c:pt idx="8">
                  <c:v>49831.85</c:v>
                </c:pt>
                <c:pt idx="9">
                  <c:v>49727.3</c:v>
                </c:pt>
                <c:pt idx="10">
                  <c:v>50516.9</c:v>
                </c:pt>
                <c:pt idx="11">
                  <c:v>50368.35</c:v>
                </c:pt>
                <c:pt idx="12">
                  <c:v>50803.15</c:v>
                </c:pt>
                <c:pt idx="13">
                  <c:v>50685.55</c:v>
                </c:pt>
                <c:pt idx="14">
                  <c:v>50985.7</c:v>
                </c:pt>
                <c:pt idx="15">
                  <c:v>50933.45</c:v>
                </c:pt>
                <c:pt idx="16">
                  <c:v>51148.1</c:v>
                </c:pt>
                <c:pt idx="17">
                  <c:v>51278.75</c:v>
                </c:pt>
                <c:pt idx="18">
                  <c:v>51143.85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C72-BBDE-836D03A3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41792"/>
        <c:axId val="413842752"/>
      </c:lineChart>
      <c:dateAx>
        <c:axId val="413841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2752"/>
        <c:crosses val="autoZero"/>
        <c:auto val="1"/>
        <c:lblOffset val="100"/>
        <c:baseTimeUnit val="days"/>
      </c:dateAx>
      <c:valAx>
        <c:axId val="413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straddle'!$J$34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straddle'!$J$35:$J$53</c:f>
              <c:numCache>
                <c:formatCode>General</c:formatCode>
                <c:ptCount val="19"/>
                <c:pt idx="0">
                  <c:v>136</c:v>
                </c:pt>
                <c:pt idx="1">
                  <c:v>349.84999999999854</c:v>
                </c:pt>
                <c:pt idx="2">
                  <c:v>1607.9000000000015</c:v>
                </c:pt>
                <c:pt idx="3">
                  <c:v>1951.6999999999971</c:v>
                </c:pt>
                <c:pt idx="4">
                  <c:v>1581</c:v>
                </c:pt>
                <c:pt idx="5">
                  <c:v>1543.3000000000029</c:v>
                </c:pt>
                <c:pt idx="6">
                  <c:v>1215.5</c:v>
                </c:pt>
                <c:pt idx="7">
                  <c:v>1122.0500000000029</c:v>
                </c:pt>
                <c:pt idx="8">
                  <c:v>1868.1500000000015</c:v>
                </c:pt>
                <c:pt idx="9">
                  <c:v>1972.6999999999971</c:v>
                </c:pt>
                <c:pt idx="10">
                  <c:v>1183.0999999999985</c:v>
                </c:pt>
                <c:pt idx="11">
                  <c:v>1331.6500000000015</c:v>
                </c:pt>
                <c:pt idx="12">
                  <c:v>896.84999999999854</c:v>
                </c:pt>
                <c:pt idx="13">
                  <c:v>1014.4499999999971</c:v>
                </c:pt>
                <c:pt idx="14">
                  <c:v>714.30000000000291</c:v>
                </c:pt>
                <c:pt idx="15">
                  <c:v>766.55000000000291</c:v>
                </c:pt>
                <c:pt idx="16">
                  <c:v>551.90000000000146</c:v>
                </c:pt>
                <c:pt idx="17">
                  <c:v>421.25</c:v>
                </c:pt>
                <c:pt idx="18">
                  <c:v>556.15000000000146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2-43EF-AEB9-19A2AABF0C61}"/>
            </c:ext>
          </c:extLst>
        </c:ser>
        <c:ser>
          <c:idx val="1"/>
          <c:order val="1"/>
          <c:tx>
            <c:strRef>
              <c:f>'Long straddle'!$K$34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'Long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straddle'!$K$35:$K$53</c:f>
              <c:numCache>
                <c:formatCode>General</c:formatCode>
                <c:ptCount val="19"/>
                <c:pt idx="0">
                  <c:v>-1526.25</c:v>
                </c:pt>
                <c:pt idx="1">
                  <c:v>-1312.4000000000015</c:v>
                </c:pt>
                <c:pt idx="2">
                  <c:v>-54.349999999998545</c:v>
                </c:pt>
                <c:pt idx="3">
                  <c:v>289.44999999999709</c:v>
                </c:pt>
                <c:pt idx="4">
                  <c:v>-81.25</c:v>
                </c:pt>
                <c:pt idx="5">
                  <c:v>-118.94999999999709</c:v>
                </c:pt>
                <c:pt idx="6">
                  <c:v>-446.75</c:v>
                </c:pt>
                <c:pt idx="7">
                  <c:v>-540.19999999999709</c:v>
                </c:pt>
                <c:pt idx="8">
                  <c:v>205.90000000000146</c:v>
                </c:pt>
                <c:pt idx="9">
                  <c:v>310.44999999999709</c:v>
                </c:pt>
                <c:pt idx="10">
                  <c:v>-479.15000000000146</c:v>
                </c:pt>
                <c:pt idx="11">
                  <c:v>-330.59999999999854</c:v>
                </c:pt>
                <c:pt idx="12">
                  <c:v>-765.40000000000146</c:v>
                </c:pt>
                <c:pt idx="13">
                  <c:v>-647.80000000000291</c:v>
                </c:pt>
                <c:pt idx="14">
                  <c:v>-947.94999999999709</c:v>
                </c:pt>
                <c:pt idx="15">
                  <c:v>-895.69999999999709</c:v>
                </c:pt>
                <c:pt idx="16">
                  <c:v>-1110.3499999999985</c:v>
                </c:pt>
                <c:pt idx="17">
                  <c:v>-1241</c:v>
                </c:pt>
                <c:pt idx="18">
                  <c:v>-1106.0999999999985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2-43EF-AEB9-19A2AABF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96288"/>
        <c:axId val="272899648"/>
      </c:lineChart>
      <c:dateAx>
        <c:axId val="272896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9648"/>
        <c:crosses val="autoZero"/>
        <c:auto val="1"/>
        <c:lblOffset val="100"/>
        <c:baseTimeUnit val="days"/>
      </c:dateAx>
      <c:valAx>
        <c:axId val="2728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straddle'!$B$11</c:f>
              <c:strCache>
                <c:ptCount val="1"/>
                <c:pt idx="0">
                  <c:v>Short call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straddle'!$B$12:$B$32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F-40EA-A1A1-A3CDCE0E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7808"/>
        <c:axId val="272927488"/>
      </c:lineChart>
      <c:catAx>
        <c:axId val="2729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7488"/>
        <c:crosses val="autoZero"/>
        <c:auto val="1"/>
        <c:lblAlgn val="ctr"/>
        <c:lblOffset val="100"/>
        <c:noMultiLvlLbl val="0"/>
      </c:catAx>
      <c:valAx>
        <c:axId val="2729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straddle'!$C$11</c:f>
              <c:strCache>
                <c:ptCount val="1"/>
                <c:pt idx="0">
                  <c:v>Short put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straddle'!$C$12:$C$32</c:f>
              <c:numCache>
                <c:formatCode>General</c:formatCode>
                <c:ptCount val="21"/>
                <c:pt idx="0">
                  <c:v>-2200</c:v>
                </c:pt>
                <c:pt idx="1">
                  <c:v>-2000</c:v>
                </c:pt>
                <c:pt idx="2">
                  <c:v>-1800</c:v>
                </c:pt>
                <c:pt idx="3">
                  <c:v>-1600</c:v>
                </c:pt>
                <c:pt idx="4">
                  <c:v>-1400</c:v>
                </c:pt>
                <c:pt idx="5">
                  <c:v>-1200</c:v>
                </c:pt>
                <c:pt idx="6">
                  <c:v>-1000</c:v>
                </c:pt>
                <c:pt idx="7">
                  <c:v>-800</c:v>
                </c:pt>
                <c:pt idx="8">
                  <c:v>-600</c:v>
                </c:pt>
                <c:pt idx="9">
                  <c:v>-400</c:v>
                </c:pt>
                <c:pt idx="10">
                  <c:v>-200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6-4166-99B0-06A66A28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40"/>
        <c:axId val="487520"/>
      </c:lineChart>
      <c:catAx>
        <c:axId val="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0"/>
        <c:crosses val="autoZero"/>
        <c:auto val="1"/>
        <c:lblAlgn val="ctr"/>
        <c:lblOffset val="100"/>
        <c:noMultiLvlLbl val="0"/>
      </c:catAx>
      <c:valAx>
        <c:axId val="4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6984251968503934"/>
          <c:h val="0.66114428404782732"/>
        </c:manualLayout>
      </c:layout>
      <c:lineChart>
        <c:grouping val="standard"/>
        <c:varyColors val="0"/>
        <c:ser>
          <c:idx val="0"/>
          <c:order val="0"/>
          <c:tx>
            <c:strRef>
              <c:f>'Short straddle'!$D$11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straddle'!$D$12:$D$32</c:f>
              <c:numCache>
                <c:formatCode>General</c:formatCode>
                <c:ptCount val="21"/>
                <c:pt idx="0">
                  <c:v>-2200</c:v>
                </c:pt>
                <c:pt idx="1">
                  <c:v>-2000</c:v>
                </c:pt>
                <c:pt idx="2">
                  <c:v>-1800</c:v>
                </c:pt>
                <c:pt idx="3">
                  <c:v>-1600</c:v>
                </c:pt>
                <c:pt idx="4">
                  <c:v>-1400</c:v>
                </c:pt>
                <c:pt idx="5">
                  <c:v>-1200</c:v>
                </c:pt>
                <c:pt idx="6">
                  <c:v>-1000</c:v>
                </c:pt>
                <c:pt idx="7">
                  <c:v>-800</c:v>
                </c:pt>
                <c:pt idx="8">
                  <c:v>-600</c:v>
                </c:pt>
                <c:pt idx="9">
                  <c:v>-400</c:v>
                </c:pt>
                <c:pt idx="10">
                  <c:v>-200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4-44D0-88BB-556BFB07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9248"/>
        <c:axId val="272910208"/>
      </c:lineChart>
      <c:catAx>
        <c:axId val="2729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0208"/>
        <c:crosses val="autoZero"/>
        <c:auto val="1"/>
        <c:lblAlgn val="ctr"/>
        <c:lblOffset val="100"/>
        <c:noMultiLvlLbl val="0"/>
      </c:catAx>
      <c:valAx>
        <c:axId val="2729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straddle'!$E$12:$E$32</c:f>
              <c:numCache>
                <c:formatCode>General</c:formatCode>
                <c:ptCount val="21"/>
                <c:pt idx="0">
                  <c:v>-537.75</c:v>
                </c:pt>
                <c:pt idx="1">
                  <c:v>-337.75</c:v>
                </c:pt>
                <c:pt idx="2">
                  <c:v>-137.75</c:v>
                </c:pt>
                <c:pt idx="3">
                  <c:v>62.25</c:v>
                </c:pt>
                <c:pt idx="4">
                  <c:v>262.25</c:v>
                </c:pt>
                <c:pt idx="5">
                  <c:v>462.25</c:v>
                </c:pt>
                <c:pt idx="6">
                  <c:v>662.25</c:v>
                </c:pt>
                <c:pt idx="7">
                  <c:v>862.25</c:v>
                </c:pt>
                <c:pt idx="8">
                  <c:v>1062.25</c:v>
                </c:pt>
                <c:pt idx="9">
                  <c:v>1262.25</c:v>
                </c:pt>
                <c:pt idx="10">
                  <c:v>1462.25</c:v>
                </c:pt>
                <c:pt idx="11">
                  <c:v>1662.25</c:v>
                </c:pt>
                <c:pt idx="12">
                  <c:v>1462.25</c:v>
                </c:pt>
                <c:pt idx="13">
                  <c:v>1262.25</c:v>
                </c:pt>
                <c:pt idx="14">
                  <c:v>1062.25</c:v>
                </c:pt>
                <c:pt idx="15">
                  <c:v>862.25</c:v>
                </c:pt>
                <c:pt idx="16">
                  <c:v>662.25</c:v>
                </c:pt>
                <c:pt idx="17">
                  <c:v>462.25</c:v>
                </c:pt>
                <c:pt idx="18">
                  <c:v>262.25</c:v>
                </c:pt>
                <c:pt idx="19">
                  <c:v>62.25</c:v>
                </c:pt>
                <c:pt idx="20">
                  <c:v>-137.75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0-48C2-99EC-6DDC4E2A1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25568"/>
        <c:axId val="272917408"/>
      </c:lineChart>
      <c:catAx>
        <c:axId val="2729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7408"/>
        <c:crosses val="autoZero"/>
        <c:auto val="1"/>
        <c:lblAlgn val="ctr"/>
        <c:lblOffset val="100"/>
        <c:noMultiLvlLbl val="0"/>
      </c:catAx>
      <c:valAx>
        <c:axId val="2729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'Short straddle'!$B$11</c:f>
              <c:strCache>
                <c:ptCount val="1"/>
                <c:pt idx="0">
                  <c:v>Short call at 51700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straddle'!$B$12:$B$32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9-4B2A-A9B1-792EAA34BCF6}"/>
            </c:ext>
          </c:extLst>
        </c:ser>
        <c:ser>
          <c:idx val="1"/>
          <c:order val="1"/>
          <c:tx>
            <c:strRef>
              <c:f>'Short straddle'!$C$11</c:f>
              <c:strCache>
                <c:ptCount val="1"/>
                <c:pt idx="0">
                  <c:v>Short put at 51700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straddle'!$C$12:$C$32</c:f>
              <c:numCache>
                <c:formatCode>General</c:formatCode>
                <c:ptCount val="21"/>
                <c:pt idx="0">
                  <c:v>-2200</c:v>
                </c:pt>
                <c:pt idx="1">
                  <c:v>-2000</c:v>
                </c:pt>
                <c:pt idx="2">
                  <c:v>-1800</c:v>
                </c:pt>
                <c:pt idx="3">
                  <c:v>-1600</c:v>
                </c:pt>
                <c:pt idx="4">
                  <c:v>-1400</c:v>
                </c:pt>
                <c:pt idx="5">
                  <c:v>-1200</c:v>
                </c:pt>
                <c:pt idx="6">
                  <c:v>-1000</c:v>
                </c:pt>
                <c:pt idx="7">
                  <c:v>-800</c:v>
                </c:pt>
                <c:pt idx="8">
                  <c:v>-600</c:v>
                </c:pt>
                <c:pt idx="9">
                  <c:v>-400</c:v>
                </c:pt>
                <c:pt idx="10">
                  <c:v>-200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9-4B2A-A9B1-792EAA34BCF6}"/>
            </c:ext>
          </c:extLst>
        </c:ser>
        <c:ser>
          <c:idx val="2"/>
          <c:order val="2"/>
          <c:tx>
            <c:strRef>
              <c:f>'Short straddle'!$D$11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straddle'!$D$12:$D$32</c:f>
              <c:numCache>
                <c:formatCode>General</c:formatCode>
                <c:ptCount val="21"/>
                <c:pt idx="0">
                  <c:v>-2200</c:v>
                </c:pt>
                <c:pt idx="1">
                  <c:v>-2000</c:v>
                </c:pt>
                <c:pt idx="2">
                  <c:v>-1800</c:v>
                </c:pt>
                <c:pt idx="3">
                  <c:v>-1600</c:v>
                </c:pt>
                <c:pt idx="4">
                  <c:v>-1400</c:v>
                </c:pt>
                <c:pt idx="5">
                  <c:v>-1200</c:v>
                </c:pt>
                <c:pt idx="6">
                  <c:v>-1000</c:v>
                </c:pt>
                <c:pt idx="7">
                  <c:v>-800</c:v>
                </c:pt>
                <c:pt idx="8">
                  <c:v>-600</c:v>
                </c:pt>
                <c:pt idx="9">
                  <c:v>-400</c:v>
                </c:pt>
                <c:pt idx="10">
                  <c:v>-200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9-4B2A-A9B1-792EAA34BCF6}"/>
            </c:ext>
          </c:extLst>
        </c:ser>
        <c:ser>
          <c:idx val="3"/>
          <c:order val="3"/>
          <c:tx>
            <c:strRef>
              <c:f>'Short straddle'!$E$11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'Short straddle'!$A$12:$A$32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straddle'!$E$12:$E$32</c:f>
              <c:numCache>
                <c:formatCode>General</c:formatCode>
                <c:ptCount val="21"/>
                <c:pt idx="0">
                  <c:v>-537.75</c:v>
                </c:pt>
                <c:pt idx="1">
                  <c:v>-337.75</c:v>
                </c:pt>
                <c:pt idx="2">
                  <c:v>-137.75</c:v>
                </c:pt>
                <c:pt idx="3">
                  <c:v>62.25</c:v>
                </c:pt>
                <c:pt idx="4">
                  <c:v>262.25</c:v>
                </c:pt>
                <c:pt idx="5">
                  <c:v>462.25</c:v>
                </c:pt>
                <c:pt idx="6">
                  <c:v>662.25</c:v>
                </c:pt>
                <c:pt idx="7">
                  <c:v>862.25</c:v>
                </c:pt>
                <c:pt idx="8">
                  <c:v>1062.25</c:v>
                </c:pt>
                <c:pt idx="9">
                  <c:v>1262.25</c:v>
                </c:pt>
                <c:pt idx="10">
                  <c:v>1462.25</c:v>
                </c:pt>
                <c:pt idx="11">
                  <c:v>1662.25</c:v>
                </c:pt>
                <c:pt idx="12">
                  <c:v>1462.25</c:v>
                </c:pt>
                <c:pt idx="13">
                  <c:v>1262.25</c:v>
                </c:pt>
                <c:pt idx="14">
                  <c:v>1062.25</c:v>
                </c:pt>
                <c:pt idx="15">
                  <c:v>862.25</c:v>
                </c:pt>
                <c:pt idx="16">
                  <c:v>662.25</c:v>
                </c:pt>
                <c:pt idx="17">
                  <c:v>462.25</c:v>
                </c:pt>
                <c:pt idx="18">
                  <c:v>262.25</c:v>
                </c:pt>
                <c:pt idx="19">
                  <c:v>62.25</c:v>
                </c:pt>
                <c:pt idx="20">
                  <c:v>-137.75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9-4B2A-A9B1-792EAA34B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70592"/>
        <c:axId val="413869632"/>
      </c:scatterChart>
      <c:valAx>
        <c:axId val="4138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69632"/>
        <c:crosses val="autoZero"/>
        <c:crossBetween val="midCat"/>
      </c:valAx>
      <c:valAx>
        <c:axId val="413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7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straddle'!$B$34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straddle'!$B$35:$B$53</c:f>
              <c:numCache>
                <c:formatCode>#,##0.00</c:formatCode>
                <c:ptCount val="19"/>
                <c:pt idx="0">
                  <c:v>51564</c:v>
                </c:pt>
                <c:pt idx="1">
                  <c:v>51350.15</c:v>
                </c:pt>
                <c:pt idx="2">
                  <c:v>50092.1</c:v>
                </c:pt>
                <c:pt idx="3">
                  <c:v>49748.3</c:v>
                </c:pt>
                <c:pt idx="4">
                  <c:v>50119</c:v>
                </c:pt>
                <c:pt idx="5">
                  <c:v>50156.7</c:v>
                </c:pt>
                <c:pt idx="6">
                  <c:v>50484.5</c:v>
                </c:pt>
                <c:pt idx="7">
                  <c:v>50577.95</c:v>
                </c:pt>
                <c:pt idx="8">
                  <c:v>49831.85</c:v>
                </c:pt>
                <c:pt idx="9">
                  <c:v>49727.3</c:v>
                </c:pt>
                <c:pt idx="10">
                  <c:v>50516.9</c:v>
                </c:pt>
                <c:pt idx="11">
                  <c:v>50368.35</c:v>
                </c:pt>
                <c:pt idx="12">
                  <c:v>50803.15</c:v>
                </c:pt>
                <c:pt idx="13">
                  <c:v>50685.55</c:v>
                </c:pt>
                <c:pt idx="14">
                  <c:v>50985.7</c:v>
                </c:pt>
                <c:pt idx="15">
                  <c:v>50933.45</c:v>
                </c:pt>
                <c:pt idx="16">
                  <c:v>51148.1</c:v>
                </c:pt>
                <c:pt idx="17">
                  <c:v>51278.75</c:v>
                </c:pt>
                <c:pt idx="18">
                  <c:v>51143.85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D-479A-B53A-6A0387CD0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41792"/>
        <c:axId val="413842752"/>
      </c:lineChart>
      <c:dateAx>
        <c:axId val="413841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2752"/>
        <c:crosses val="autoZero"/>
        <c:auto val="1"/>
        <c:lblOffset val="100"/>
        <c:baseTimeUnit val="days"/>
      </c:dateAx>
      <c:valAx>
        <c:axId val="413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straddle'!$J$34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straddle'!$J$35:$J$53</c:f>
              <c:numCache>
                <c:formatCode>General</c:formatCode>
                <c:ptCount val="19"/>
                <c:pt idx="0">
                  <c:v>-136</c:v>
                </c:pt>
                <c:pt idx="1">
                  <c:v>-349.84999999999854</c:v>
                </c:pt>
                <c:pt idx="2">
                  <c:v>-1607.9000000000015</c:v>
                </c:pt>
                <c:pt idx="3">
                  <c:v>-1951.6999999999971</c:v>
                </c:pt>
                <c:pt idx="4">
                  <c:v>-1581</c:v>
                </c:pt>
                <c:pt idx="5">
                  <c:v>-1543.3000000000029</c:v>
                </c:pt>
                <c:pt idx="6">
                  <c:v>-1215.5</c:v>
                </c:pt>
                <c:pt idx="7">
                  <c:v>-1122.0500000000029</c:v>
                </c:pt>
                <c:pt idx="8">
                  <c:v>-1868.1500000000015</c:v>
                </c:pt>
                <c:pt idx="9">
                  <c:v>-1972.6999999999971</c:v>
                </c:pt>
                <c:pt idx="10">
                  <c:v>-1183.0999999999985</c:v>
                </c:pt>
                <c:pt idx="11">
                  <c:v>-1331.6500000000015</c:v>
                </c:pt>
                <c:pt idx="12">
                  <c:v>-896.84999999999854</c:v>
                </c:pt>
                <c:pt idx="13">
                  <c:v>-1014.4499999999971</c:v>
                </c:pt>
                <c:pt idx="14">
                  <c:v>-714.30000000000291</c:v>
                </c:pt>
                <c:pt idx="15">
                  <c:v>-766.55000000000291</c:v>
                </c:pt>
                <c:pt idx="16">
                  <c:v>-551.90000000000146</c:v>
                </c:pt>
                <c:pt idx="17">
                  <c:v>-421.25</c:v>
                </c:pt>
                <c:pt idx="18">
                  <c:v>-556.15000000000146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9-4DD4-98B8-562606C81625}"/>
            </c:ext>
          </c:extLst>
        </c:ser>
        <c:ser>
          <c:idx val="1"/>
          <c:order val="1"/>
          <c:tx>
            <c:strRef>
              <c:f>'Short straddle'!$K$34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'Short straddle'!$A$35:$A$53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straddle'!$K$35:$K$53</c:f>
              <c:numCache>
                <c:formatCode>General</c:formatCode>
                <c:ptCount val="19"/>
                <c:pt idx="0">
                  <c:v>1526.25</c:v>
                </c:pt>
                <c:pt idx="1">
                  <c:v>1312.4000000000015</c:v>
                </c:pt>
                <c:pt idx="2">
                  <c:v>54.349999999998545</c:v>
                </c:pt>
                <c:pt idx="3">
                  <c:v>-289.44999999999709</c:v>
                </c:pt>
                <c:pt idx="4">
                  <c:v>81.25</c:v>
                </c:pt>
                <c:pt idx="5">
                  <c:v>118.94999999999709</c:v>
                </c:pt>
                <c:pt idx="6">
                  <c:v>446.75</c:v>
                </c:pt>
                <c:pt idx="7">
                  <c:v>540.19999999999709</c:v>
                </c:pt>
                <c:pt idx="8">
                  <c:v>-205.90000000000146</c:v>
                </c:pt>
                <c:pt idx="9">
                  <c:v>-310.44999999999709</c:v>
                </c:pt>
                <c:pt idx="10">
                  <c:v>479.15000000000146</c:v>
                </c:pt>
                <c:pt idx="11">
                  <c:v>330.59999999999854</c:v>
                </c:pt>
                <c:pt idx="12">
                  <c:v>765.40000000000146</c:v>
                </c:pt>
                <c:pt idx="13">
                  <c:v>647.80000000000291</c:v>
                </c:pt>
                <c:pt idx="14">
                  <c:v>947.94999999999709</c:v>
                </c:pt>
                <c:pt idx="15">
                  <c:v>895.69999999999709</c:v>
                </c:pt>
                <c:pt idx="16">
                  <c:v>1110.3499999999985</c:v>
                </c:pt>
                <c:pt idx="17">
                  <c:v>1241</c:v>
                </c:pt>
                <c:pt idx="18">
                  <c:v>1106.0999999999985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9-4DD4-98B8-562606C81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96288"/>
        <c:axId val="272899648"/>
      </c:lineChart>
      <c:dateAx>
        <c:axId val="272896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9648"/>
        <c:crosses val="autoZero"/>
        <c:auto val="1"/>
        <c:lblOffset val="100"/>
        <c:baseTimeUnit val="days"/>
      </c:dateAx>
      <c:valAx>
        <c:axId val="2728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strangle'!$B$11</c:f>
              <c:strCache>
                <c:ptCount val="1"/>
                <c:pt idx="0">
                  <c:v>Long call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strangle'!$B$12:$B$32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9-4E14-9542-7ACC6C03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7808"/>
        <c:axId val="272927488"/>
      </c:lineChart>
      <c:catAx>
        <c:axId val="2729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7488"/>
        <c:crosses val="autoZero"/>
        <c:auto val="1"/>
        <c:lblAlgn val="ctr"/>
        <c:lblOffset val="100"/>
        <c:noMultiLvlLbl val="0"/>
      </c:catAx>
      <c:valAx>
        <c:axId val="2729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strangle'!$C$11</c:f>
              <c:strCache>
                <c:ptCount val="1"/>
                <c:pt idx="0">
                  <c:v>Long put at 51500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strangle'!$C$12:$C$32</c:f>
              <c:numCache>
                <c:formatCode>General</c:formatCode>
                <c:ptCount val="2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A-41AD-89DF-8C7A5C2D0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40"/>
        <c:axId val="487520"/>
      </c:lineChart>
      <c:catAx>
        <c:axId val="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0"/>
        <c:crosses val="autoZero"/>
        <c:auto val="1"/>
        <c:lblAlgn val="ctr"/>
        <c:lblOffset val="100"/>
        <c:noMultiLvlLbl val="0"/>
      </c:catAx>
      <c:valAx>
        <c:axId val="4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6984251968503934"/>
          <c:h val="0.66114428404782732"/>
        </c:manualLayout>
      </c:layout>
      <c:lineChart>
        <c:grouping val="standard"/>
        <c:varyColors val="0"/>
        <c:ser>
          <c:idx val="0"/>
          <c:order val="0"/>
          <c:tx>
            <c:strRef>
              <c:f>'Long strangle'!$D$11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strangle'!$D$12:$D$32</c:f>
              <c:numCache>
                <c:formatCode>General</c:formatCode>
                <c:ptCount val="2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4-4A30-A029-A64AF630C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9248"/>
        <c:axId val="272910208"/>
      </c:lineChart>
      <c:catAx>
        <c:axId val="2729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0208"/>
        <c:crosses val="autoZero"/>
        <c:auto val="1"/>
        <c:lblAlgn val="ctr"/>
        <c:lblOffset val="100"/>
        <c:noMultiLvlLbl val="0"/>
      </c:catAx>
      <c:valAx>
        <c:axId val="2729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'Long strangle'!$E$12:$E$32</c:f>
              <c:numCache>
                <c:formatCode>General</c:formatCode>
                <c:ptCount val="21"/>
                <c:pt idx="0">
                  <c:v>412.04999999999995</c:v>
                </c:pt>
                <c:pt idx="1">
                  <c:v>212.04999999999995</c:v>
                </c:pt>
                <c:pt idx="2">
                  <c:v>12.049999999999955</c:v>
                </c:pt>
                <c:pt idx="3">
                  <c:v>-187.95000000000005</c:v>
                </c:pt>
                <c:pt idx="4">
                  <c:v>-387.95000000000005</c:v>
                </c:pt>
                <c:pt idx="5">
                  <c:v>-587.95000000000005</c:v>
                </c:pt>
                <c:pt idx="6">
                  <c:v>-787.95</c:v>
                </c:pt>
                <c:pt idx="7">
                  <c:v>-987.95</c:v>
                </c:pt>
                <c:pt idx="8">
                  <c:v>-1187.95</c:v>
                </c:pt>
                <c:pt idx="9">
                  <c:v>-1387.95</c:v>
                </c:pt>
                <c:pt idx="10">
                  <c:v>-1587.95</c:v>
                </c:pt>
                <c:pt idx="11">
                  <c:v>-1587.95</c:v>
                </c:pt>
                <c:pt idx="12">
                  <c:v>-1387.95</c:v>
                </c:pt>
                <c:pt idx="13">
                  <c:v>-1187.95</c:v>
                </c:pt>
                <c:pt idx="14">
                  <c:v>-987.95</c:v>
                </c:pt>
                <c:pt idx="15">
                  <c:v>-787.95</c:v>
                </c:pt>
                <c:pt idx="16">
                  <c:v>-587.95000000000005</c:v>
                </c:pt>
                <c:pt idx="17">
                  <c:v>-387.95000000000005</c:v>
                </c:pt>
                <c:pt idx="18">
                  <c:v>-187.95000000000005</c:v>
                </c:pt>
                <c:pt idx="19">
                  <c:v>12.049999999999955</c:v>
                </c:pt>
                <c:pt idx="20">
                  <c:v>212.04999999999995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0-4B7F-8B54-2F42493A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25568"/>
        <c:axId val="272917408"/>
      </c:lineChart>
      <c:catAx>
        <c:axId val="2729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7408"/>
        <c:crosses val="autoZero"/>
        <c:auto val="1"/>
        <c:lblAlgn val="ctr"/>
        <c:lblOffset val="100"/>
        <c:noMultiLvlLbl val="0"/>
      </c:catAx>
      <c:valAx>
        <c:axId val="2729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'Long strangle'!$B$11</c:f>
              <c:strCache>
                <c:ptCount val="1"/>
                <c:pt idx="0">
                  <c:v>Long call at 51700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strangle'!$B$12:$B$32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C-4B0A-9110-EF9B58205526}"/>
            </c:ext>
          </c:extLst>
        </c:ser>
        <c:ser>
          <c:idx val="1"/>
          <c:order val="1"/>
          <c:tx>
            <c:strRef>
              <c:f>'Long strangle'!$C$11</c:f>
              <c:strCache>
                <c:ptCount val="1"/>
                <c:pt idx="0">
                  <c:v>Long put at 51500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strangle'!$C$12:$C$32</c:f>
              <c:numCache>
                <c:formatCode>General</c:formatCode>
                <c:ptCount val="2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C-4B0A-9110-EF9B58205526}"/>
            </c:ext>
          </c:extLst>
        </c:ser>
        <c:ser>
          <c:idx val="2"/>
          <c:order val="2"/>
          <c:tx>
            <c:strRef>
              <c:f>'Long strangle'!$D$11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strangle'!$D$12:$D$32</c:f>
              <c:numCache>
                <c:formatCode>General</c:formatCode>
                <c:ptCount val="2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200</c:v>
                </c:pt>
                <c:pt idx="13">
                  <c:v>400</c:v>
                </c:pt>
                <c:pt idx="14">
                  <c:v>600</c:v>
                </c:pt>
                <c:pt idx="15">
                  <c:v>800</c:v>
                </c:pt>
                <c:pt idx="16">
                  <c:v>1000</c:v>
                </c:pt>
                <c:pt idx="17">
                  <c:v>1200</c:v>
                </c:pt>
                <c:pt idx="18">
                  <c:v>1400</c:v>
                </c:pt>
                <c:pt idx="19">
                  <c:v>1600</c:v>
                </c:pt>
                <c:pt idx="20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5C-4B0A-9110-EF9B58205526}"/>
            </c:ext>
          </c:extLst>
        </c:ser>
        <c:ser>
          <c:idx val="3"/>
          <c:order val="3"/>
          <c:tx>
            <c:strRef>
              <c:f>'Long strangle'!$E$11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'Long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'Long strangle'!$E$12:$E$32</c:f>
              <c:numCache>
                <c:formatCode>General</c:formatCode>
                <c:ptCount val="21"/>
                <c:pt idx="0">
                  <c:v>412.04999999999995</c:v>
                </c:pt>
                <c:pt idx="1">
                  <c:v>212.04999999999995</c:v>
                </c:pt>
                <c:pt idx="2">
                  <c:v>12.049999999999955</c:v>
                </c:pt>
                <c:pt idx="3">
                  <c:v>-187.95000000000005</c:v>
                </c:pt>
                <c:pt idx="4">
                  <c:v>-387.95000000000005</c:v>
                </c:pt>
                <c:pt idx="5">
                  <c:v>-587.95000000000005</c:v>
                </c:pt>
                <c:pt idx="6">
                  <c:v>-787.95</c:v>
                </c:pt>
                <c:pt idx="7">
                  <c:v>-987.95</c:v>
                </c:pt>
                <c:pt idx="8">
                  <c:v>-1187.95</c:v>
                </c:pt>
                <c:pt idx="9">
                  <c:v>-1387.95</c:v>
                </c:pt>
                <c:pt idx="10">
                  <c:v>-1587.95</c:v>
                </c:pt>
                <c:pt idx="11">
                  <c:v>-1587.95</c:v>
                </c:pt>
                <c:pt idx="12">
                  <c:v>-1387.95</c:v>
                </c:pt>
                <c:pt idx="13">
                  <c:v>-1187.95</c:v>
                </c:pt>
                <c:pt idx="14">
                  <c:v>-987.95</c:v>
                </c:pt>
                <c:pt idx="15">
                  <c:v>-787.95</c:v>
                </c:pt>
                <c:pt idx="16">
                  <c:v>-587.95000000000005</c:v>
                </c:pt>
                <c:pt idx="17">
                  <c:v>-387.95000000000005</c:v>
                </c:pt>
                <c:pt idx="18">
                  <c:v>-187.95000000000005</c:v>
                </c:pt>
                <c:pt idx="19">
                  <c:v>12.049999999999955</c:v>
                </c:pt>
                <c:pt idx="20">
                  <c:v>212.04999999999995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5C-4B0A-9110-EF9B5820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70592"/>
        <c:axId val="413869632"/>
      </c:scatterChart>
      <c:valAx>
        <c:axId val="4138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69632"/>
        <c:crosses val="autoZero"/>
        <c:crossBetween val="midCat"/>
      </c:valAx>
      <c:valAx>
        <c:axId val="413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7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strangle'!$B$34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strangle'!$B$35:$B$53</c:f>
              <c:numCache>
                <c:formatCode>#,##0.00</c:formatCode>
                <c:ptCount val="19"/>
                <c:pt idx="0">
                  <c:v>51564</c:v>
                </c:pt>
                <c:pt idx="1">
                  <c:v>51350.15</c:v>
                </c:pt>
                <c:pt idx="2">
                  <c:v>50092.1</c:v>
                </c:pt>
                <c:pt idx="3">
                  <c:v>49748.3</c:v>
                </c:pt>
                <c:pt idx="4">
                  <c:v>50119</c:v>
                </c:pt>
                <c:pt idx="5">
                  <c:v>50156.7</c:v>
                </c:pt>
                <c:pt idx="6">
                  <c:v>50484.5</c:v>
                </c:pt>
                <c:pt idx="7">
                  <c:v>50577.95</c:v>
                </c:pt>
                <c:pt idx="8">
                  <c:v>49831.85</c:v>
                </c:pt>
                <c:pt idx="9">
                  <c:v>49727.3</c:v>
                </c:pt>
                <c:pt idx="10">
                  <c:v>50516.9</c:v>
                </c:pt>
                <c:pt idx="11">
                  <c:v>50368.35</c:v>
                </c:pt>
                <c:pt idx="12">
                  <c:v>50803.15</c:v>
                </c:pt>
                <c:pt idx="13">
                  <c:v>50685.55</c:v>
                </c:pt>
                <c:pt idx="14">
                  <c:v>50985.7</c:v>
                </c:pt>
                <c:pt idx="15">
                  <c:v>50933.45</c:v>
                </c:pt>
                <c:pt idx="16">
                  <c:v>51148.1</c:v>
                </c:pt>
                <c:pt idx="17">
                  <c:v>51278.75</c:v>
                </c:pt>
                <c:pt idx="18">
                  <c:v>51143.85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7-4CC0-8781-5445102E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41792"/>
        <c:axId val="413842752"/>
      </c:lineChart>
      <c:dateAx>
        <c:axId val="413841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2752"/>
        <c:crosses val="autoZero"/>
        <c:auto val="1"/>
        <c:lblOffset val="100"/>
        <c:baseTimeUnit val="days"/>
      </c:dateAx>
      <c:valAx>
        <c:axId val="413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strangle'!$J$34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strangle'!$J$35:$J$53</c:f>
              <c:numCache>
                <c:formatCode>General</c:formatCode>
                <c:ptCount val="19"/>
                <c:pt idx="0">
                  <c:v>0</c:v>
                </c:pt>
                <c:pt idx="1">
                  <c:v>149.84999999999854</c:v>
                </c:pt>
                <c:pt idx="2">
                  <c:v>1407.9000000000015</c:v>
                </c:pt>
                <c:pt idx="3">
                  <c:v>1751.6999999999971</c:v>
                </c:pt>
                <c:pt idx="4">
                  <c:v>1381</c:v>
                </c:pt>
                <c:pt idx="5">
                  <c:v>1343.3000000000029</c:v>
                </c:pt>
                <c:pt idx="6">
                  <c:v>1015.5</c:v>
                </c:pt>
                <c:pt idx="7">
                  <c:v>922.05000000000291</c:v>
                </c:pt>
                <c:pt idx="8">
                  <c:v>1668.1500000000015</c:v>
                </c:pt>
                <c:pt idx="9">
                  <c:v>1772.6999999999971</c:v>
                </c:pt>
                <c:pt idx="10">
                  <c:v>983.09999999999854</c:v>
                </c:pt>
                <c:pt idx="11">
                  <c:v>1131.6500000000015</c:v>
                </c:pt>
                <c:pt idx="12">
                  <c:v>696.84999999999854</c:v>
                </c:pt>
                <c:pt idx="13">
                  <c:v>814.44999999999709</c:v>
                </c:pt>
                <c:pt idx="14">
                  <c:v>514.30000000000291</c:v>
                </c:pt>
                <c:pt idx="15">
                  <c:v>566.55000000000291</c:v>
                </c:pt>
                <c:pt idx="16">
                  <c:v>351.90000000000146</c:v>
                </c:pt>
                <c:pt idx="17">
                  <c:v>221.25</c:v>
                </c:pt>
                <c:pt idx="18">
                  <c:v>356.15000000000146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2-419B-88C3-6F12DEDC6646}"/>
            </c:ext>
          </c:extLst>
        </c:ser>
        <c:ser>
          <c:idx val="1"/>
          <c:order val="1"/>
          <c:tx>
            <c:strRef>
              <c:f>'Long strangle'!$K$34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'Long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'Long strangle'!$K$35:$K$53</c:f>
              <c:numCache>
                <c:formatCode>General</c:formatCode>
                <c:ptCount val="19"/>
                <c:pt idx="0">
                  <c:v>-1587.95</c:v>
                </c:pt>
                <c:pt idx="1">
                  <c:v>-1438.1000000000015</c:v>
                </c:pt>
                <c:pt idx="2">
                  <c:v>-180.04999999999859</c:v>
                </c:pt>
                <c:pt idx="3">
                  <c:v>163.74999999999704</c:v>
                </c:pt>
                <c:pt idx="4">
                  <c:v>-206.95000000000005</c:v>
                </c:pt>
                <c:pt idx="5">
                  <c:v>-244.64999999999714</c:v>
                </c:pt>
                <c:pt idx="6">
                  <c:v>-572.45000000000005</c:v>
                </c:pt>
                <c:pt idx="7">
                  <c:v>-665.89999999999714</c:v>
                </c:pt>
                <c:pt idx="8">
                  <c:v>80.20000000000141</c:v>
                </c:pt>
                <c:pt idx="9">
                  <c:v>184.74999999999704</c:v>
                </c:pt>
                <c:pt idx="10">
                  <c:v>-604.8500000000015</c:v>
                </c:pt>
                <c:pt idx="11">
                  <c:v>-456.29999999999859</c:v>
                </c:pt>
                <c:pt idx="12">
                  <c:v>-891.1000000000015</c:v>
                </c:pt>
                <c:pt idx="13">
                  <c:v>-773.50000000000296</c:v>
                </c:pt>
                <c:pt idx="14">
                  <c:v>-1073.6499999999971</c:v>
                </c:pt>
                <c:pt idx="15">
                  <c:v>-1021.3999999999971</c:v>
                </c:pt>
                <c:pt idx="16">
                  <c:v>-1236.0499999999986</c:v>
                </c:pt>
                <c:pt idx="17">
                  <c:v>-1366.7</c:v>
                </c:pt>
                <c:pt idx="18">
                  <c:v>-1231.7999999999986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2-419B-88C3-6F12DEDC6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96288"/>
        <c:axId val="272899648"/>
      </c:lineChart>
      <c:dateAx>
        <c:axId val="272896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9648"/>
        <c:crosses val="autoZero"/>
        <c:auto val="1"/>
        <c:lblOffset val="100"/>
        <c:baseTimeUnit val="days"/>
      </c:dateAx>
      <c:valAx>
        <c:axId val="2728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strangle'!$B$11</c:f>
              <c:strCache>
                <c:ptCount val="1"/>
                <c:pt idx="0">
                  <c:v>Short call at 51700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strangle'!$B$12:$B$32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A-4807-8397-419C40B9C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7808"/>
        <c:axId val="272927488"/>
      </c:lineChart>
      <c:catAx>
        <c:axId val="2729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7488"/>
        <c:crosses val="autoZero"/>
        <c:auto val="1"/>
        <c:lblAlgn val="ctr"/>
        <c:lblOffset val="100"/>
        <c:noMultiLvlLbl val="0"/>
      </c:catAx>
      <c:valAx>
        <c:axId val="2729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strangle'!$C$11</c:f>
              <c:strCache>
                <c:ptCount val="1"/>
                <c:pt idx="0">
                  <c:v>Short put at 51500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strangle'!$C$12:$C$32</c:f>
              <c:numCache>
                <c:formatCode>General</c:formatCode>
                <c:ptCount val="21"/>
                <c:pt idx="0">
                  <c:v>-2000</c:v>
                </c:pt>
                <c:pt idx="1">
                  <c:v>-1800</c:v>
                </c:pt>
                <c:pt idx="2">
                  <c:v>-1600</c:v>
                </c:pt>
                <c:pt idx="3">
                  <c:v>-1400</c:v>
                </c:pt>
                <c:pt idx="4">
                  <c:v>-1200</c:v>
                </c:pt>
                <c:pt idx="5">
                  <c:v>-1000</c:v>
                </c:pt>
                <c:pt idx="6">
                  <c:v>-800</c:v>
                </c:pt>
                <c:pt idx="7">
                  <c:v>-600</c:v>
                </c:pt>
                <c:pt idx="8">
                  <c:v>-400</c:v>
                </c:pt>
                <c:pt idx="9">
                  <c:v>-200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5-4834-9307-2C83603E2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40"/>
        <c:axId val="487520"/>
      </c:lineChart>
      <c:catAx>
        <c:axId val="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0"/>
        <c:crosses val="autoZero"/>
        <c:auto val="1"/>
        <c:lblAlgn val="ctr"/>
        <c:lblOffset val="100"/>
        <c:noMultiLvlLbl val="0"/>
      </c:catAx>
      <c:valAx>
        <c:axId val="4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6984251968503934"/>
          <c:h val="0.66114428404782732"/>
        </c:manualLayout>
      </c:layout>
      <c:lineChart>
        <c:grouping val="standard"/>
        <c:varyColors val="0"/>
        <c:ser>
          <c:idx val="0"/>
          <c:order val="0"/>
          <c:tx>
            <c:strRef>
              <c:f>'Short strangle'!$D$11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strangle'!$D$12:$D$32</c:f>
              <c:numCache>
                <c:formatCode>General</c:formatCode>
                <c:ptCount val="21"/>
                <c:pt idx="0">
                  <c:v>-2000</c:v>
                </c:pt>
                <c:pt idx="1">
                  <c:v>-1800</c:v>
                </c:pt>
                <c:pt idx="2">
                  <c:v>-1600</c:v>
                </c:pt>
                <c:pt idx="3">
                  <c:v>-1400</c:v>
                </c:pt>
                <c:pt idx="4">
                  <c:v>-1200</c:v>
                </c:pt>
                <c:pt idx="5">
                  <c:v>-1000</c:v>
                </c:pt>
                <c:pt idx="6">
                  <c:v>-800</c:v>
                </c:pt>
                <c:pt idx="7">
                  <c:v>-600</c:v>
                </c:pt>
                <c:pt idx="8">
                  <c:v>-400</c:v>
                </c:pt>
                <c:pt idx="9">
                  <c:v>-200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A-4C14-8B13-5383F051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09248"/>
        <c:axId val="272910208"/>
      </c:lineChart>
      <c:catAx>
        <c:axId val="2729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0208"/>
        <c:crosses val="autoZero"/>
        <c:auto val="1"/>
        <c:lblAlgn val="ctr"/>
        <c:lblOffset val="100"/>
        <c:noMultiLvlLbl val="0"/>
      </c:catAx>
      <c:valAx>
        <c:axId val="2729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cat>
          <c:val>
            <c:numRef>
              <c:f>'Short strangle'!$E$12:$E$32</c:f>
              <c:numCache>
                <c:formatCode>General</c:formatCode>
                <c:ptCount val="21"/>
                <c:pt idx="0">
                  <c:v>-412.04999999999995</c:v>
                </c:pt>
                <c:pt idx="1">
                  <c:v>-212.04999999999995</c:v>
                </c:pt>
                <c:pt idx="2">
                  <c:v>-12.049999999999955</c:v>
                </c:pt>
                <c:pt idx="3">
                  <c:v>187.95000000000005</c:v>
                </c:pt>
                <c:pt idx="4">
                  <c:v>387.95000000000005</c:v>
                </c:pt>
                <c:pt idx="5">
                  <c:v>587.95000000000005</c:v>
                </c:pt>
                <c:pt idx="6">
                  <c:v>787.95</c:v>
                </c:pt>
                <c:pt idx="7">
                  <c:v>987.95</c:v>
                </c:pt>
                <c:pt idx="8">
                  <c:v>1187.95</c:v>
                </c:pt>
                <c:pt idx="9">
                  <c:v>1387.95</c:v>
                </c:pt>
                <c:pt idx="10">
                  <c:v>1587.95</c:v>
                </c:pt>
                <c:pt idx="11">
                  <c:v>1587.95</c:v>
                </c:pt>
                <c:pt idx="12">
                  <c:v>1387.95</c:v>
                </c:pt>
                <c:pt idx="13">
                  <c:v>1187.95</c:v>
                </c:pt>
                <c:pt idx="14">
                  <c:v>987.95</c:v>
                </c:pt>
                <c:pt idx="15">
                  <c:v>787.95</c:v>
                </c:pt>
                <c:pt idx="16">
                  <c:v>587.95000000000005</c:v>
                </c:pt>
                <c:pt idx="17">
                  <c:v>387.95000000000005</c:v>
                </c:pt>
                <c:pt idx="18">
                  <c:v>187.95000000000005</c:v>
                </c:pt>
                <c:pt idx="19">
                  <c:v>-12.049999999999955</c:v>
                </c:pt>
                <c:pt idx="20">
                  <c:v>-212.04999999999995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4-4250-BF09-DE388611B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25568"/>
        <c:axId val="272917408"/>
      </c:lineChart>
      <c:catAx>
        <c:axId val="2729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7408"/>
        <c:crosses val="autoZero"/>
        <c:auto val="1"/>
        <c:lblAlgn val="ctr"/>
        <c:lblOffset val="100"/>
        <c:noMultiLvlLbl val="0"/>
      </c:catAx>
      <c:valAx>
        <c:axId val="2729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'Short strangle'!$B$11</c:f>
              <c:strCache>
                <c:ptCount val="1"/>
                <c:pt idx="0">
                  <c:v>Short call at 51700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strangle'!$B$12:$B$32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9-4DBD-BDBC-8FDE362022CB}"/>
            </c:ext>
          </c:extLst>
        </c:ser>
        <c:ser>
          <c:idx val="1"/>
          <c:order val="1"/>
          <c:tx>
            <c:strRef>
              <c:f>'Short strangle'!$C$11</c:f>
              <c:strCache>
                <c:ptCount val="1"/>
                <c:pt idx="0">
                  <c:v>Short put at 51500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strangle'!$C$12:$C$32</c:f>
              <c:numCache>
                <c:formatCode>General</c:formatCode>
                <c:ptCount val="21"/>
                <c:pt idx="0">
                  <c:v>-2000</c:v>
                </c:pt>
                <c:pt idx="1">
                  <c:v>-1800</c:v>
                </c:pt>
                <c:pt idx="2">
                  <c:v>-1600</c:v>
                </c:pt>
                <c:pt idx="3">
                  <c:v>-1400</c:v>
                </c:pt>
                <c:pt idx="4">
                  <c:v>-1200</c:v>
                </c:pt>
                <c:pt idx="5">
                  <c:v>-1000</c:v>
                </c:pt>
                <c:pt idx="6">
                  <c:v>-800</c:v>
                </c:pt>
                <c:pt idx="7">
                  <c:v>-600</c:v>
                </c:pt>
                <c:pt idx="8">
                  <c:v>-400</c:v>
                </c:pt>
                <c:pt idx="9">
                  <c:v>-200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9-4DBD-BDBC-8FDE362022CB}"/>
            </c:ext>
          </c:extLst>
        </c:ser>
        <c:ser>
          <c:idx val="2"/>
          <c:order val="2"/>
          <c:tx>
            <c:strRef>
              <c:f>'Short strangle'!$D$11</c:f>
              <c:strCache>
                <c:ptCount val="1"/>
                <c:pt idx="0">
                  <c:v>Net payoff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strangle'!$D$12:$D$32</c:f>
              <c:numCache>
                <c:formatCode>General</c:formatCode>
                <c:ptCount val="21"/>
                <c:pt idx="0">
                  <c:v>-2000</c:v>
                </c:pt>
                <c:pt idx="1">
                  <c:v>-1800</c:v>
                </c:pt>
                <c:pt idx="2">
                  <c:v>-1600</c:v>
                </c:pt>
                <c:pt idx="3">
                  <c:v>-1400</c:v>
                </c:pt>
                <c:pt idx="4">
                  <c:v>-1200</c:v>
                </c:pt>
                <c:pt idx="5">
                  <c:v>-1000</c:v>
                </c:pt>
                <c:pt idx="6">
                  <c:v>-800</c:v>
                </c:pt>
                <c:pt idx="7">
                  <c:v>-600</c:v>
                </c:pt>
                <c:pt idx="8">
                  <c:v>-400</c:v>
                </c:pt>
                <c:pt idx="9">
                  <c:v>-200</c:v>
                </c:pt>
                <c:pt idx="10">
                  <c:v>0</c:v>
                </c:pt>
                <c:pt idx="11">
                  <c:v>0</c:v>
                </c:pt>
                <c:pt idx="12">
                  <c:v>-200</c:v>
                </c:pt>
                <c:pt idx="13">
                  <c:v>-400</c:v>
                </c:pt>
                <c:pt idx="14">
                  <c:v>-600</c:v>
                </c:pt>
                <c:pt idx="15">
                  <c:v>-800</c:v>
                </c:pt>
                <c:pt idx="16">
                  <c:v>-1000</c:v>
                </c:pt>
                <c:pt idx="17">
                  <c:v>-1200</c:v>
                </c:pt>
                <c:pt idx="18">
                  <c:v>-1400</c:v>
                </c:pt>
                <c:pt idx="19">
                  <c:v>-1600</c:v>
                </c:pt>
                <c:pt idx="20">
                  <c:v>-1800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C9-4DBD-BDBC-8FDE362022CB}"/>
            </c:ext>
          </c:extLst>
        </c:ser>
        <c:ser>
          <c:idx val="3"/>
          <c:order val="3"/>
          <c:tx>
            <c:strRef>
              <c:f>'Short strangle'!$E$11</c:f>
              <c:strCache>
                <c:ptCount val="1"/>
                <c:pt idx="0">
                  <c:v>Net profit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'Short strangle'!$A$12:$A$32</c:f>
              <c:numCache>
                <c:formatCode>General</c:formatCode>
                <c:ptCount val="21"/>
                <c:pt idx="0">
                  <c:v>49500</c:v>
                </c:pt>
                <c:pt idx="1">
                  <c:v>49700</c:v>
                </c:pt>
                <c:pt idx="2">
                  <c:v>49900</c:v>
                </c:pt>
                <c:pt idx="3">
                  <c:v>50100</c:v>
                </c:pt>
                <c:pt idx="4">
                  <c:v>50300</c:v>
                </c:pt>
                <c:pt idx="5">
                  <c:v>50500</c:v>
                </c:pt>
                <c:pt idx="6">
                  <c:v>50700</c:v>
                </c:pt>
                <c:pt idx="7">
                  <c:v>50900</c:v>
                </c:pt>
                <c:pt idx="8">
                  <c:v>51100</c:v>
                </c:pt>
                <c:pt idx="9">
                  <c:v>51300</c:v>
                </c:pt>
                <c:pt idx="10">
                  <c:v>51500</c:v>
                </c:pt>
                <c:pt idx="11">
                  <c:v>51700</c:v>
                </c:pt>
                <c:pt idx="12">
                  <c:v>51900</c:v>
                </c:pt>
                <c:pt idx="13">
                  <c:v>52100</c:v>
                </c:pt>
                <c:pt idx="14">
                  <c:v>52300</c:v>
                </c:pt>
                <c:pt idx="15">
                  <c:v>52500</c:v>
                </c:pt>
                <c:pt idx="16">
                  <c:v>52700</c:v>
                </c:pt>
                <c:pt idx="17">
                  <c:v>52900</c:v>
                </c:pt>
                <c:pt idx="18">
                  <c:v>53100</c:v>
                </c:pt>
                <c:pt idx="19">
                  <c:v>53300</c:v>
                </c:pt>
                <c:pt idx="20">
                  <c:v>53500</c:v>
                </c:pt>
              </c:numCache>
            </c:numRef>
          </c:xVal>
          <c:yVal>
            <c:numRef>
              <c:f>'Short strangle'!$E$12:$E$32</c:f>
              <c:numCache>
                <c:formatCode>General</c:formatCode>
                <c:ptCount val="21"/>
                <c:pt idx="0">
                  <c:v>-412.04999999999995</c:v>
                </c:pt>
                <c:pt idx="1">
                  <c:v>-212.04999999999995</c:v>
                </c:pt>
                <c:pt idx="2">
                  <c:v>-12.049999999999955</c:v>
                </c:pt>
                <c:pt idx="3">
                  <c:v>187.95000000000005</c:v>
                </c:pt>
                <c:pt idx="4">
                  <c:v>387.95000000000005</c:v>
                </c:pt>
                <c:pt idx="5">
                  <c:v>587.95000000000005</c:v>
                </c:pt>
                <c:pt idx="6">
                  <c:v>787.95</c:v>
                </c:pt>
                <c:pt idx="7">
                  <c:v>987.95</c:v>
                </c:pt>
                <c:pt idx="8">
                  <c:v>1187.95</c:v>
                </c:pt>
                <c:pt idx="9">
                  <c:v>1387.95</c:v>
                </c:pt>
                <c:pt idx="10">
                  <c:v>1587.95</c:v>
                </c:pt>
                <c:pt idx="11">
                  <c:v>1587.95</c:v>
                </c:pt>
                <c:pt idx="12">
                  <c:v>1387.95</c:v>
                </c:pt>
                <c:pt idx="13">
                  <c:v>1187.95</c:v>
                </c:pt>
                <c:pt idx="14">
                  <c:v>987.95</c:v>
                </c:pt>
                <c:pt idx="15">
                  <c:v>787.95</c:v>
                </c:pt>
                <c:pt idx="16">
                  <c:v>587.95000000000005</c:v>
                </c:pt>
                <c:pt idx="17">
                  <c:v>387.95000000000005</c:v>
                </c:pt>
                <c:pt idx="18">
                  <c:v>187.95000000000005</c:v>
                </c:pt>
                <c:pt idx="19">
                  <c:v>-12.049999999999955</c:v>
                </c:pt>
                <c:pt idx="20">
                  <c:v>-212.04999999999995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C9-4DBD-BDBC-8FDE36202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70592"/>
        <c:axId val="413869632"/>
      </c:scatterChart>
      <c:valAx>
        <c:axId val="4138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69632"/>
        <c:crosses val="autoZero"/>
        <c:crossBetween val="midCat"/>
      </c:valAx>
      <c:valAx>
        <c:axId val="413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7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strangle'!$B$34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strangle'!$B$35:$B$53</c:f>
              <c:numCache>
                <c:formatCode>#,##0.00</c:formatCode>
                <c:ptCount val="19"/>
                <c:pt idx="0">
                  <c:v>51564</c:v>
                </c:pt>
                <c:pt idx="1">
                  <c:v>51350.15</c:v>
                </c:pt>
                <c:pt idx="2">
                  <c:v>50092.1</c:v>
                </c:pt>
                <c:pt idx="3">
                  <c:v>49748.3</c:v>
                </c:pt>
                <c:pt idx="4">
                  <c:v>50119</c:v>
                </c:pt>
                <c:pt idx="5">
                  <c:v>50156.7</c:v>
                </c:pt>
                <c:pt idx="6">
                  <c:v>50484.5</c:v>
                </c:pt>
                <c:pt idx="7">
                  <c:v>50577.95</c:v>
                </c:pt>
                <c:pt idx="8">
                  <c:v>49831.85</c:v>
                </c:pt>
                <c:pt idx="9">
                  <c:v>49727.3</c:v>
                </c:pt>
                <c:pt idx="10">
                  <c:v>50516.9</c:v>
                </c:pt>
                <c:pt idx="11">
                  <c:v>50368.35</c:v>
                </c:pt>
                <c:pt idx="12">
                  <c:v>50803.15</c:v>
                </c:pt>
                <c:pt idx="13">
                  <c:v>50685.55</c:v>
                </c:pt>
                <c:pt idx="14">
                  <c:v>50985.7</c:v>
                </c:pt>
                <c:pt idx="15">
                  <c:v>50933.45</c:v>
                </c:pt>
                <c:pt idx="16">
                  <c:v>51148.1</c:v>
                </c:pt>
                <c:pt idx="17">
                  <c:v>51278.75</c:v>
                </c:pt>
                <c:pt idx="18">
                  <c:v>51143.85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7-424D-A9DD-2DFC89B1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41792"/>
        <c:axId val="413842752"/>
      </c:lineChart>
      <c:dateAx>
        <c:axId val="413841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2752"/>
        <c:crosses val="autoZero"/>
        <c:auto val="1"/>
        <c:lblOffset val="100"/>
        <c:baseTimeUnit val="days"/>
      </c:dateAx>
      <c:valAx>
        <c:axId val="413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strangle'!$J$34</c:f>
              <c:strCache>
                <c:ptCount val="1"/>
                <c:pt idx="0">
                  <c:v>Net payoff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strangle'!$J$35:$J$53</c:f>
              <c:numCache>
                <c:formatCode>General</c:formatCode>
                <c:ptCount val="19"/>
                <c:pt idx="0">
                  <c:v>0</c:v>
                </c:pt>
                <c:pt idx="1">
                  <c:v>-149.84999999999854</c:v>
                </c:pt>
                <c:pt idx="2">
                  <c:v>-1407.9000000000015</c:v>
                </c:pt>
                <c:pt idx="3">
                  <c:v>-1751.6999999999971</c:v>
                </c:pt>
                <c:pt idx="4">
                  <c:v>-1381</c:v>
                </c:pt>
                <c:pt idx="5">
                  <c:v>-1343.3000000000029</c:v>
                </c:pt>
                <c:pt idx="6">
                  <c:v>-1015.5</c:v>
                </c:pt>
                <c:pt idx="7">
                  <c:v>-922.05000000000291</c:v>
                </c:pt>
                <c:pt idx="8">
                  <c:v>-1668.1500000000015</c:v>
                </c:pt>
                <c:pt idx="9">
                  <c:v>-1772.6999999999971</c:v>
                </c:pt>
                <c:pt idx="10">
                  <c:v>-983.09999999999854</c:v>
                </c:pt>
                <c:pt idx="11">
                  <c:v>-1131.6500000000015</c:v>
                </c:pt>
                <c:pt idx="12">
                  <c:v>-696.84999999999854</c:v>
                </c:pt>
                <c:pt idx="13">
                  <c:v>-814.44999999999709</c:v>
                </c:pt>
                <c:pt idx="14">
                  <c:v>-514.30000000000291</c:v>
                </c:pt>
                <c:pt idx="15">
                  <c:v>-566.55000000000291</c:v>
                </c:pt>
                <c:pt idx="16">
                  <c:v>-351.90000000000146</c:v>
                </c:pt>
                <c:pt idx="17">
                  <c:v>-221.25</c:v>
                </c:pt>
                <c:pt idx="18">
                  <c:v>-356.15000000000146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4-445C-A1A6-5DA7C9950D89}"/>
            </c:ext>
          </c:extLst>
        </c:ser>
        <c:ser>
          <c:idx val="1"/>
          <c:order val="1"/>
          <c:tx>
            <c:strRef>
              <c:f>'Short strangle'!$K$34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'Short strangle'!$A$35:$A$53</c:f>
              <c:numCache>
                <c:formatCode>m/d/yyyy</c:formatCode>
                <c:ptCount val="19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</c:numCache>
            </c:numRef>
          </c:cat>
          <c:val>
            <c:numRef>
              <c:f>'Short strangle'!$K$35:$K$53</c:f>
              <c:numCache>
                <c:formatCode>General</c:formatCode>
                <c:ptCount val="19"/>
                <c:pt idx="0">
                  <c:v>1587.95</c:v>
                </c:pt>
                <c:pt idx="1">
                  <c:v>1438.1000000000015</c:v>
                </c:pt>
                <c:pt idx="2">
                  <c:v>180.04999999999859</c:v>
                </c:pt>
                <c:pt idx="3">
                  <c:v>-163.74999999999704</c:v>
                </c:pt>
                <c:pt idx="4">
                  <c:v>206.95000000000005</c:v>
                </c:pt>
                <c:pt idx="5">
                  <c:v>244.64999999999714</c:v>
                </c:pt>
                <c:pt idx="6">
                  <c:v>572.45000000000005</c:v>
                </c:pt>
                <c:pt idx="7">
                  <c:v>665.89999999999714</c:v>
                </c:pt>
                <c:pt idx="8">
                  <c:v>-80.20000000000141</c:v>
                </c:pt>
                <c:pt idx="9">
                  <c:v>-184.74999999999704</c:v>
                </c:pt>
                <c:pt idx="10">
                  <c:v>604.8500000000015</c:v>
                </c:pt>
                <c:pt idx="11">
                  <c:v>456.29999999999859</c:v>
                </c:pt>
                <c:pt idx="12">
                  <c:v>891.1000000000015</c:v>
                </c:pt>
                <c:pt idx="13">
                  <c:v>773.50000000000296</c:v>
                </c:pt>
                <c:pt idx="14">
                  <c:v>1073.6499999999971</c:v>
                </c:pt>
                <c:pt idx="15">
                  <c:v>1021.3999999999971</c:v>
                </c:pt>
                <c:pt idx="16">
                  <c:v>1236.0499999999986</c:v>
                </c:pt>
                <c:pt idx="17">
                  <c:v>1366.7</c:v>
                </c:pt>
                <c:pt idx="18">
                  <c:v>1231.7999999999986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4-445C-A1A6-5DA7C9950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896288"/>
        <c:axId val="272899648"/>
      </c:lineChart>
      <c:dateAx>
        <c:axId val="272896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9648"/>
        <c:crosses val="autoZero"/>
        <c:auto val="1"/>
        <c:lblOffset val="100"/>
        <c:baseTimeUnit val="days"/>
      </c:dateAx>
      <c:valAx>
        <c:axId val="2728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</xdr:colOff>
      <xdr:row>7</xdr:row>
      <xdr:rowOff>19050</xdr:rowOff>
    </xdr:from>
    <xdr:to>
      <xdr:col>12</xdr:col>
      <xdr:colOff>171450</xdr:colOff>
      <xdr:row>19</xdr:row>
      <xdr:rowOff>164305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2D976-15A7-D7A8-D22B-4D7FB4FCE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316705</xdr:colOff>
      <xdr:row>7</xdr:row>
      <xdr:rowOff>35718</xdr:rowOff>
    </xdr:from>
    <xdr:to>
      <xdr:col>17</xdr:col>
      <xdr:colOff>23813</xdr:colOff>
      <xdr:row>19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47559A-87F7-4C9C-A6AE-12E25C4D6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221455</xdr:colOff>
      <xdr:row>7</xdr:row>
      <xdr:rowOff>26193</xdr:rowOff>
    </xdr:from>
    <xdr:to>
      <xdr:col>22</xdr:col>
      <xdr:colOff>138113</xdr:colOff>
      <xdr:row>19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04F64-B4A9-B310-D7D3-E14AA3376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2380</xdr:colOff>
      <xdr:row>20</xdr:row>
      <xdr:rowOff>64293</xdr:rowOff>
    </xdr:from>
    <xdr:to>
      <xdr:col>12</xdr:col>
      <xdr:colOff>195263</xdr:colOff>
      <xdr:row>31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D50830-DE15-1CB9-F5EE-A98B4C3E2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433388</xdr:colOff>
      <xdr:row>20</xdr:row>
      <xdr:rowOff>35718</xdr:rowOff>
    </xdr:from>
    <xdr:to>
      <xdr:col>17</xdr:col>
      <xdr:colOff>342900</xdr:colOff>
      <xdr:row>31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EDF81D-5D4E-B8A1-583C-FF5A810DA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297656</xdr:colOff>
      <xdr:row>4</xdr:row>
      <xdr:rowOff>90488</xdr:rowOff>
    </xdr:from>
    <xdr:to>
      <xdr:col>30</xdr:col>
      <xdr:colOff>414338</xdr:colOff>
      <xdr:row>20</xdr:row>
      <xdr:rowOff>107155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FE5B97-45EC-B2EA-FC7A-E7ED4FAAD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311943</xdr:colOff>
      <xdr:row>54</xdr:row>
      <xdr:rowOff>126206</xdr:rowOff>
    </xdr:from>
    <xdr:to>
      <xdr:col>8</xdr:col>
      <xdr:colOff>607218</xdr:colOff>
      <xdr:row>69</xdr:row>
      <xdr:rowOff>154781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527582-627D-A83D-CC2B-E3FB3EBEA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526255</xdr:colOff>
      <xdr:row>34</xdr:row>
      <xdr:rowOff>197643</xdr:rowOff>
    </xdr:from>
    <xdr:to>
      <xdr:col>20</xdr:col>
      <xdr:colOff>69055</xdr:colOff>
      <xdr:row>48</xdr:row>
      <xdr:rowOff>83343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CA2BB8-C2E9-ECA3-E6B4-150B25913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9</xdr:row>
      <xdr:rowOff>28575</xdr:rowOff>
    </xdr:from>
    <xdr:to>
      <xdr:col>11</xdr:col>
      <xdr:colOff>309562</xdr:colOff>
      <xdr:row>18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7E2D4-C7D4-70C6-090E-8C061400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</xdr:colOff>
      <xdr:row>7</xdr:row>
      <xdr:rowOff>61913</xdr:rowOff>
    </xdr:from>
    <xdr:to>
      <xdr:col>18</xdr:col>
      <xdr:colOff>442912</xdr:colOff>
      <xdr:row>16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6D5100-5F9A-072A-04AB-075E4A50A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19</xdr:row>
      <xdr:rowOff>47625</xdr:rowOff>
    </xdr:from>
    <xdr:to>
      <xdr:col>12</xdr:col>
      <xdr:colOff>104775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79C1C6-1137-8374-2305-D2CC00A5D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64293</xdr:colOff>
      <xdr:row>17</xdr:row>
      <xdr:rowOff>176213</xdr:rowOff>
    </xdr:from>
    <xdr:to>
      <xdr:col>19</xdr:col>
      <xdr:colOff>66675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A4081-A44B-F850-2EC2-5F2E5D297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145256</xdr:colOff>
      <xdr:row>7</xdr:row>
      <xdr:rowOff>11905</xdr:rowOff>
    </xdr:from>
    <xdr:to>
      <xdr:col>26</xdr:col>
      <xdr:colOff>316706</xdr:colOff>
      <xdr:row>22</xdr:row>
      <xdr:rowOff>40480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A390F0-331D-D5D4-042A-0FF87A200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945356</xdr:colOff>
      <xdr:row>54</xdr:row>
      <xdr:rowOff>50006</xdr:rowOff>
    </xdr:from>
    <xdr:to>
      <xdr:col>5</xdr:col>
      <xdr:colOff>335756</xdr:colOff>
      <xdr:row>69</xdr:row>
      <xdr:rowOff>78581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E6B66E-401A-DB77-16FD-BF957D4C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388142</xdr:colOff>
      <xdr:row>37</xdr:row>
      <xdr:rowOff>145256</xdr:rowOff>
    </xdr:from>
    <xdr:to>
      <xdr:col>18</xdr:col>
      <xdr:colOff>559592</xdr:colOff>
      <xdr:row>52</xdr:row>
      <xdr:rowOff>173831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AF060D-0F6F-0310-FE3E-05593FF13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9</xdr:row>
      <xdr:rowOff>28575</xdr:rowOff>
    </xdr:from>
    <xdr:to>
      <xdr:col>11</xdr:col>
      <xdr:colOff>309562</xdr:colOff>
      <xdr:row>18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10CD8-95F0-4E87-ADD6-D8ED7C9C6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</xdr:colOff>
      <xdr:row>7</xdr:row>
      <xdr:rowOff>61913</xdr:rowOff>
    </xdr:from>
    <xdr:to>
      <xdr:col>18</xdr:col>
      <xdr:colOff>442912</xdr:colOff>
      <xdr:row>16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10E75B-1575-44FF-B977-F6B623FAB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19</xdr:row>
      <xdr:rowOff>47625</xdr:rowOff>
    </xdr:from>
    <xdr:to>
      <xdr:col>12</xdr:col>
      <xdr:colOff>104775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041B01-637B-4106-BF9D-32141B21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64293</xdr:colOff>
      <xdr:row>17</xdr:row>
      <xdr:rowOff>176213</xdr:rowOff>
    </xdr:from>
    <xdr:to>
      <xdr:col>19</xdr:col>
      <xdr:colOff>66675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08CE61-4682-4D44-A437-626C53A2C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145256</xdr:colOff>
      <xdr:row>7</xdr:row>
      <xdr:rowOff>11905</xdr:rowOff>
    </xdr:from>
    <xdr:to>
      <xdr:col>26</xdr:col>
      <xdr:colOff>316706</xdr:colOff>
      <xdr:row>22</xdr:row>
      <xdr:rowOff>40480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5FE9F6-12CF-4C12-885C-43BC8B811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945356</xdr:colOff>
      <xdr:row>54</xdr:row>
      <xdr:rowOff>50006</xdr:rowOff>
    </xdr:from>
    <xdr:to>
      <xdr:col>5</xdr:col>
      <xdr:colOff>335756</xdr:colOff>
      <xdr:row>69</xdr:row>
      <xdr:rowOff>78581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A0E873-C86E-4A0D-A729-ABC6841C3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388142</xdr:colOff>
      <xdr:row>37</xdr:row>
      <xdr:rowOff>145256</xdr:rowOff>
    </xdr:from>
    <xdr:to>
      <xdr:col>18</xdr:col>
      <xdr:colOff>559592</xdr:colOff>
      <xdr:row>52</xdr:row>
      <xdr:rowOff>173831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B1E327-FBE5-4C19-836A-23AD7816A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9</xdr:row>
      <xdr:rowOff>28575</xdr:rowOff>
    </xdr:from>
    <xdr:to>
      <xdr:col>11</xdr:col>
      <xdr:colOff>309562</xdr:colOff>
      <xdr:row>18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7010D-B108-4018-BF91-633C0FE3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</xdr:colOff>
      <xdr:row>7</xdr:row>
      <xdr:rowOff>61913</xdr:rowOff>
    </xdr:from>
    <xdr:to>
      <xdr:col>18</xdr:col>
      <xdr:colOff>442912</xdr:colOff>
      <xdr:row>16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9F661C-D7E4-43F4-A5AB-4F5DA8023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19</xdr:row>
      <xdr:rowOff>47625</xdr:rowOff>
    </xdr:from>
    <xdr:to>
      <xdr:col>12</xdr:col>
      <xdr:colOff>104775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249C2B-721B-495F-8504-7012B9AF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64293</xdr:colOff>
      <xdr:row>17</xdr:row>
      <xdr:rowOff>176213</xdr:rowOff>
    </xdr:from>
    <xdr:to>
      <xdr:col>19</xdr:col>
      <xdr:colOff>66675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340C54-727C-4886-834B-484840782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145256</xdr:colOff>
      <xdr:row>7</xdr:row>
      <xdr:rowOff>11905</xdr:rowOff>
    </xdr:from>
    <xdr:to>
      <xdr:col>26</xdr:col>
      <xdr:colOff>316706</xdr:colOff>
      <xdr:row>22</xdr:row>
      <xdr:rowOff>40480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5AC618-9841-4245-BE54-B332236AD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945356</xdr:colOff>
      <xdr:row>54</xdr:row>
      <xdr:rowOff>50006</xdr:rowOff>
    </xdr:from>
    <xdr:to>
      <xdr:col>5</xdr:col>
      <xdr:colOff>335756</xdr:colOff>
      <xdr:row>69</xdr:row>
      <xdr:rowOff>78581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EB9228-AACD-454C-B20B-DF1DC4152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388142</xdr:colOff>
      <xdr:row>37</xdr:row>
      <xdr:rowOff>145256</xdr:rowOff>
    </xdr:from>
    <xdr:to>
      <xdr:col>18</xdr:col>
      <xdr:colOff>559592</xdr:colOff>
      <xdr:row>52</xdr:row>
      <xdr:rowOff>173831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C53480-7732-4546-9909-3D51EA03B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9</xdr:row>
      <xdr:rowOff>28575</xdr:rowOff>
    </xdr:from>
    <xdr:to>
      <xdr:col>11</xdr:col>
      <xdr:colOff>309562</xdr:colOff>
      <xdr:row>18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1B2E5-F8E9-4420-A539-2B394E5F5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</xdr:colOff>
      <xdr:row>7</xdr:row>
      <xdr:rowOff>61913</xdr:rowOff>
    </xdr:from>
    <xdr:to>
      <xdr:col>18</xdr:col>
      <xdr:colOff>442912</xdr:colOff>
      <xdr:row>16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F2539-C9E6-4FE4-8F2D-78F07E822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19</xdr:row>
      <xdr:rowOff>47625</xdr:rowOff>
    </xdr:from>
    <xdr:to>
      <xdr:col>12</xdr:col>
      <xdr:colOff>104775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7C4F9-9E4A-48CE-8B2E-D84620740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64293</xdr:colOff>
      <xdr:row>17</xdr:row>
      <xdr:rowOff>176213</xdr:rowOff>
    </xdr:from>
    <xdr:to>
      <xdr:col>19</xdr:col>
      <xdr:colOff>66675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459A2E-18C5-486C-87B8-83F5410A9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145256</xdr:colOff>
      <xdr:row>7</xdr:row>
      <xdr:rowOff>11905</xdr:rowOff>
    </xdr:from>
    <xdr:to>
      <xdr:col>26</xdr:col>
      <xdr:colOff>316706</xdr:colOff>
      <xdr:row>22</xdr:row>
      <xdr:rowOff>40480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C1EBD-4E91-4B9E-AB4D-2FCF0E6B1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945356</xdr:colOff>
      <xdr:row>54</xdr:row>
      <xdr:rowOff>50006</xdr:rowOff>
    </xdr:from>
    <xdr:to>
      <xdr:col>5</xdr:col>
      <xdr:colOff>335756</xdr:colOff>
      <xdr:row>69</xdr:row>
      <xdr:rowOff>78581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10BB24-C02A-49C3-95EC-2F27B1B0C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388142</xdr:colOff>
      <xdr:row>37</xdr:row>
      <xdr:rowOff>145256</xdr:rowOff>
    </xdr:from>
    <xdr:to>
      <xdr:col>18</xdr:col>
      <xdr:colOff>559592</xdr:colOff>
      <xdr:row>52</xdr:row>
      <xdr:rowOff>173831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5A843F-E982-4BE3-A919-1A2BF52A5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workbookViewId="0">
      <selection activeCell="G7" sqref="G7"/>
    </sheetView>
  </sheetViews>
  <sheetFormatPr defaultColWidth="8.796875" defaultRowHeight="14.25" x14ac:dyDescent="0.45"/>
  <cols>
    <col min="1" max="1" width="12.6640625" customWidth="1"/>
    <col min="2" max="2" width="14.6640625" customWidth="1"/>
    <col min="3" max="3" width="15.53125" customWidth="1"/>
    <col min="6" max="6" width="9.1328125" bestFit="1" customWidth="1"/>
  </cols>
  <sheetData>
    <row r="1" spans="1:6" x14ac:dyDescent="0.45">
      <c r="A1" s="1" t="s">
        <v>12</v>
      </c>
      <c r="B1" s="1" t="s">
        <v>0</v>
      </c>
      <c r="C1" s="1" t="s">
        <v>1</v>
      </c>
      <c r="E1" s="1" t="s">
        <v>13</v>
      </c>
      <c r="F1">
        <v>51564</v>
      </c>
    </row>
    <row r="2" spans="1:6" x14ac:dyDescent="0.45">
      <c r="A2" s="1" t="s">
        <v>2</v>
      </c>
      <c r="B2" s="2">
        <v>45505</v>
      </c>
      <c r="C2" s="2">
        <v>45505</v>
      </c>
      <c r="E2" s="1" t="s">
        <v>14</v>
      </c>
      <c r="F2">
        <v>15</v>
      </c>
    </row>
    <row r="3" spans="1:6" x14ac:dyDescent="0.45">
      <c r="A3">
        <v>51300</v>
      </c>
      <c r="B3" s="5">
        <v>1060.75</v>
      </c>
      <c r="C3">
        <v>610.35</v>
      </c>
      <c r="E3" s="1" t="s">
        <v>15</v>
      </c>
      <c r="F3" s="2">
        <v>45532</v>
      </c>
    </row>
    <row r="4" spans="1:6" x14ac:dyDescent="0.45">
      <c r="A4" s="1">
        <v>51500</v>
      </c>
      <c r="B4" s="1">
        <v>940.7</v>
      </c>
      <c r="C4" s="4">
        <v>691.1</v>
      </c>
    </row>
    <row r="5" spans="1:6" x14ac:dyDescent="0.45">
      <c r="A5" s="1">
        <v>51700</v>
      </c>
      <c r="B5" s="1">
        <v>896.85</v>
      </c>
      <c r="C5">
        <v>765.4</v>
      </c>
    </row>
    <row r="6" spans="1:6" x14ac:dyDescent="0.45">
      <c r="E6" s="1" t="s">
        <v>3</v>
      </c>
    </row>
    <row r="7" spans="1:6" x14ac:dyDescent="0.45">
      <c r="A7" s="1" t="s">
        <v>4</v>
      </c>
      <c r="E7">
        <f>E9+E10</f>
        <v>-76.199999999999818</v>
      </c>
    </row>
    <row r="9" spans="1:6" x14ac:dyDescent="0.45">
      <c r="A9" t="s">
        <v>44</v>
      </c>
      <c r="E9">
        <f>-B3-B5</f>
        <v>-1957.6</v>
      </c>
    </row>
    <row r="10" spans="1:6" x14ac:dyDescent="0.45">
      <c r="A10" t="s">
        <v>45</v>
      </c>
      <c r="E10">
        <f>B4*2</f>
        <v>1881.4</v>
      </c>
    </row>
    <row r="11" spans="1:6" x14ac:dyDescent="0.45">
      <c r="B11" t="s">
        <v>5</v>
      </c>
    </row>
    <row r="12" spans="1:6" ht="30.4" customHeight="1" x14ac:dyDescent="0.45">
      <c r="A12" s="15" t="s">
        <v>6</v>
      </c>
      <c r="B12" s="15" t="s">
        <v>46</v>
      </c>
      <c r="C12" s="15" t="s">
        <v>47</v>
      </c>
      <c r="D12" s="15" t="s">
        <v>48</v>
      </c>
      <c r="E12" s="15" t="s">
        <v>7</v>
      </c>
      <c r="F12" s="15" t="s">
        <v>8</v>
      </c>
    </row>
    <row r="13" spans="1:6" x14ac:dyDescent="0.45">
      <c r="A13" s="3">
        <v>49500</v>
      </c>
      <c r="B13" s="3">
        <f t="shared" ref="B13:B27" si="0">MAX(A13-$A$3,0)</f>
        <v>0</v>
      </c>
      <c r="C13" s="3">
        <f t="shared" ref="C13:C27" si="1">MAX(A13-$A$5,0)</f>
        <v>0</v>
      </c>
      <c r="D13" s="3">
        <f t="shared" ref="D13:D27" si="2">MIN($A$4-A13,0)*2</f>
        <v>0</v>
      </c>
      <c r="E13" s="3">
        <f t="shared" ref="E13:E27" si="3">SUM(B13:D13)</f>
        <v>0</v>
      </c>
      <c r="F13" s="3">
        <f t="shared" ref="F13:F27" si="4">E13+$E$7</f>
        <v>-76.199999999999818</v>
      </c>
    </row>
    <row r="14" spans="1:6" x14ac:dyDescent="0.45">
      <c r="A14" s="3">
        <v>49700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3">
        <f t="shared" si="4"/>
        <v>-76.199999999999818</v>
      </c>
    </row>
    <row r="15" spans="1:6" x14ac:dyDescent="0.45">
      <c r="A15" s="3">
        <v>49900</v>
      </c>
      <c r="B15" s="3">
        <f t="shared" si="0"/>
        <v>0</v>
      </c>
      <c r="C15" s="3">
        <f t="shared" si="1"/>
        <v>0</v>
      </c>
      <c r="D15" s="3">
        <f t="shared" si="2"/>
        <v>0</v>
      </c>
      <c r="E15" s="3">
        <f t="shared" si="3"/>
        <v>0</v>
      </c>
      <c r="F15" s="3">
        <f t="shared" si="4"/>
        <v>-76.199999999999818</v>
      </c>
    </row>
    <row r="16" spans="1:6" x14ac:dyDescent="0.45">
      <c r="A16" s="3">
        <v>50100</v>
      </c>
      <c r="B16" s="3">
        <f t="shared" si="0"/>
        <v>0</v>
      </c>
      <c r="C16" s="3">
        <f t="shared" si="1"/>
        <v>0</v>
      </c>
      <c r="D16" s="3">
        <f t="shared" si="2"/>
        <v>0</v>
      </c>
      <c r="E16" s="3">
        <f t="shared" si="3"/>
        <v>0</v>
      </c>
      <c r="F16" s="3">
        <f t="shared" si="4"/>
        <v>-76.199999999999818</v>
      </c>
    </row>
    <row r="17" spans="1:6" x14ac:dyDescent="0.45">
      <c r="A17" s="3">
        <v>50300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3">
        <f t="shared" si="4"/>
        <v>-76.199999999999818</v>
      </c>
    </row>
    <row r="18" spans="1:6" x14ac:dyDescent="0.45">
      <c r="A18" s="3">
        <v>50500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3">
        <f t="shared" si="4"/>
        <v>-76.199999999999818</v>
      </c>
    </row>
    <row r="19" spans="1:6" x14ac:dyDescent="0.45">
      <c r="A19" s="3">
        <v>50700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3">
        <f t="shared" si="4"/>
        <v>-76.199999999999818</v>
      </c>
    </row>
    <row r="20" spans="1:6" x14ac:dyDescent="0.45">
      <c r="A20" s="3">
        <v>50900</v>
      </c>
      <c r="B20" s="3">
        <f t="shared" si="0"/>
        <v>0</v>
      </c>
      <c r="C20" s="3">
        <f t="shared" si="1"/>
        <v>0</v>
      </c>
      <c r="D20" s="3">
        <f t="shared" si="2"/>
        <v>0</v>
      </c>
      <c r="E20" s="3">
        <f t="shared" si="3"/>
        <v>0</v>
      </c>
      <c r="F20" s="3">
        <f t="shared" si="4"/>
        <v>-76.199999999999818</v>
      </c>
    </row>
    <row r="21" spans="1:6" x14ac:dyDescent="0.45">
      <c r="A21" s="3">
        <v>51100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3">
        <f t="shared" si="4"/>
        <v>-76.199999999999818</v>
      </c>
    </row>
    <row r="22" spans="1:6" x14ac:dyDescent="0.45">
      <c r="A22" s="3">
        <v>51300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3">
        <f t="shared" si="4"/>
        <v>-76.199999999999818</v>
      </c>
    </row>
    <row r="23" spans="1:6" x14ac:dyDescent="0.45">
      <c r="A23" s="6">
        <v>51500</v>
      </c>
      <c r="B23" s="3">
        <f t="shared" si="0"/>
        <v>200</v>
      </c>
      <c r="C23" s="3">
        <f t="shared" si="1"/>
        <v>0</v>
      </c>
      <c r="D23" s="3">
        <f t="shared" si="2"/>
        <v>0</v>
      </c>
      <c r="E23" s="3">
        <f t="shared" si="3"/>
        <v>200</v>
      </c>
      <c r="F23" s="3">
        <f t="shared" si="4"/>
        <v>123.80000000000018</v>
      </c>
    </row>
    <row r="24" spans="1:6" x14ac:dyDescent="0.45">
      <c r="A24" s="3">
        <v>51700</v>
      </c>
      <c r="B24" s="3">
        <f t="shared" si="0"/>
        <v>400</v>
      </c>
      <c r="C24" s="3">
        <f t="shared" si="1"/>
        <v>0</v>
      </c>
      <c r="D24" s="3">
        <f t="shared" si="2"/>
        <v>-400</v>
      </c>
      <c r="E24" s="3">
        <f t="shared" si="3"/>
        <v>0</v>
      </c>
      <c r="F24" s="3">
        <f t="shared" si="4"/>
        <v>-76.199999999999818</v>
      </c>
    </row>
    <row r="25" spans="1:6" x14ac:dyDescent="0.45">
      <c r="A25" s="3">
        <v>51900</v>
      </c>
      <c r="B25" s="3">
        <f t="shared" si="0"/>
        <v>600</v>
      </c>
      <c r="C25" s="3">
        <f t="shared" si="1"/>
        <v>200</v>
      </c>
      <c r="D25" s="3">
        <f t="shared" si="2"/>
        <v>-800</v>
      </c>
      <c r="E25" s="3">
        <f t="shared" si="3"/>
        <v>0</v>
      </c>
      <c r="F25" s="3">
        <f t="shared" si="4"/>
        <v>-76.199999999999818</v>
      </c>
    </row>
    <row r="26" spans="1:6" x14ac:dyDescent="0.45">
      <c r="A26" s="3">
        <v>52100</v>
      </c>
      <c r="B26" s="3">
        <f t="shared" si="0"/>
        <v>800</v>
      </c>
      <c r="C26" s="3">
        <f t="shared" si="1"/>
        <v>400</v>
      </c>
      <c r="D26" s="3">
        <f t="shared" si="2"/>
        <v>-1200</v>
      </c>
      <c r="E26" s="3">
        <f t="shared" si="3"/>
        <v>0</v>
      </c>
      <c r="F26" s="3">
        <f t="shared" si="4"/>
        <v>-76.199999999999818</v>
      </c>
    </row>
    <row r="27" spans="1:6" x14ac:dyDescent="0.45">
      <c r="A27" s="3">
        <v>52300</v>
      </c>
      <c r="B27" s="3">
        <f t="shared" si="0"/>
        <v>1000</v>
      </c>
      <c r="C27" s="3">
        <f t="shared" si="1"/>
        <v>600</v>
      </c>
      <c r="D27" s="3">
        <f t="shared" si="2"/>
        <v>-1600</v>
      </c>
      <c r="E27" s="3">
        <f t="shared" si="3"/>
        <v>0</v>
      </c>
      <c r="F27" s="3">
        <f t="shared" si="4"/>
        <v>-76.199999999999818</v>
      </c>
    </row>
    <row r="28" spans="1:6" x14ac:dyDescent="0.45">
      <c r="A28" s="3">
        <v>52500</v>
      </c>
      <c r="B28" s="3">
        <f t="shared" ref="B28:B33" si="5">MAX(A28-$A$3,0)</f>
        <v>1200</v>
      </c>
      <c r="C28" s="3">
        <f t="shared" ref="C28:C33" si="6">MAX(A28-$A$5,0)</f>
        <v>800</v>
      </c>
      <c r="D28" s="3">
        <f t="shared" ref="D28:D33" si="7">MIN($A$4-A28,0)*2</f>
        <v>-2000</v>
      </c>
      <c r="E28" s="3">
        <f t="shared" ref="E28:E33" si="8">SUM(B28:D28)</f>
        <v>0</v>
      </c>
      <c r="F28" s="3">
        <f t="shared" ref="F28:F33" si="9">E28+$E$7</f>
        <v>-76.199999999999818</v>
      </c>
    </row>
    <row r="29" spans="1:6" x14ac:dyDescent="0.45">
      <c r="A29" s="3">
        <v>52700</v>
      </c>
      <c r="B29" s="3">
        <f t="shared" si="5"/>
        <v>1400</v>
      </c>
      <c r="C29" s="3">
        <f t="shared" si="6"/>
        <v>1000</v>
      </c>
      <c r="D29" s="3">
        <f t="shared" si="7"/>
        <v>-2400</v>
      </c>
      <c r="E29" s="3">
        <f t="shared" si="8"/>
        <v>0</v>
      </c>
      <c r="F29" s="3">
        <f t="shared" si="9"/>
        <v>-76.199999999999818</v>
      </c>
    </row>
    <row r="30" spans="1:6" x14ac:dyDescent="0.45">
      <c r="A30" s="3">
        <v>52900</v>
      </c>
      <c r="B30" s="3">
        <f t="shared" si="5"/>
        <v>1600</v>
      </c>
      <c r="C30" s="3">
        <f t="shared" si="6"/>
        <v>1200</v>
      </c>
      <c r="D30" s="3">
        <f t="shared" si="7"/>
        <v>-2800</v>
      </c>
      <c r="E30" s="3">
        <f t="shared" si="8"/>
        <v>0</v>
      </c>
      <c r="F30" s="3">
        <f t="shared" si="9"/>
        <v>-76.199999999999818</v>
      </c>
    </row>
    <row r="31" spans="1:6" x14ac:dyDescent="0.45">
      <c r="A31" s="3">
        <v>53100</v>
      </c>
      <c r="B31" s="3">
        <f t="shared" si="5"/>
        <v>1800</v>
      </c>
      <c r="C31" s="3">
        <f t="shared" si="6"/>
        <v>1400</v>
      </c>
      <c r="D31" s="3">
        <f t="shared" si="7"/>
        <v>-3200</v>
      </c>
      <c r="E31" s="3">
        <f t="shared" si="8"/>
        <v>0</v>
      </c>
      <c r="F31" s="3">
        <f t="shared" si="9"/>
        <v>-76.199999999999818</v>
      </c>
    </row>
    <row r="32" spans="1:6" x14ac:dyDescent="0.45">
      <c r="A32" s="3">
        <v>53300</v>
      </c>
      <c r="B32" s="3">
        <f t="shared" si="5"/>
        <v>2000</v>
      </c>
      <c r="C32" s="3">
        <f t="shared" si="6"/>
        <v>1600</v>
      </c>
      <c r="D32" s="3">
        <f t="shared" si="7"/>
        <v>-3600</v>
      </c>
      <c r="E32" s="3">
        <f t="shared" si="8"/>
        <v>0</v>
      </c>
      <c r="F32" s="3">
        <f t="shared" si="9"/>
        <v>-76.199999999999818</v>
      </c>
    </row>
    <row r="33" spans="1:22" x14ac:dyDescent="0.45">
      <c r="A33" s="3">
        <v>53500</v>
      </c>
      <c r="B33" s="3">
        <f t="shared" si="5"/>
        <v>2200</v>
      </c>
      <c r="C33" s="3">
        <f t="shared" si="6"/>
        <v>1800</v>
      </c>
      <c r="D33" s="3">
        <f t="shared" si="7"/>
        <v>-4000</v>
      </c>
      <c r="E33" s="3">
        <f t="shared" si="8"/>
        <v>0</v>
      </c>
      <c r="F33" s="3">
        <f t="shared" si="9"/>
        <v>-76.199999999999818</v>
      </c>
    </row>
    <row r="35" spans="1:22" ht="39.75" customHeight="1" x14ac:dyDescent="0.45">
      <c r="A35" s="14" t="s">
        <v>18</v>
      </c>
      <c r="B35" s="14" t="s">
        <v>19</v>
      </c>
      <c r="C35" s="14" t="s">
        <v>39</v>
      </c>
      <c r="D35" s="14" t="s">
        <v>40</v>
      </c>
      <c r="E35" s="14" t="s">
        <v>41</v>
      </c>
      <c r="F35" s="14" t="s">
        <v>42</v>
      </c>
      <c r="G35" s="15" t="s">
        <v>46</v>
      </c>
      <c r="H35" s="15" t="s">
        <v>47</v>
      </c>
      <c r="I35" s="15" t="s">
        <v>48</v>
      </c>
      <c r="J35" s="14" t="s">
        <v>7</v>
      </c>
      <c r="K35" s="14" t="s">
        <v>8</v>
      </c>
    </row>
    <row r="36" spans="1:22" x14ac:dyDescent="0.45">
      <c r="A36" s="10">
        <v>45505</v>
      </c>
      <c r="B36" s="8">
        <v>51564</v>
      </c>
      <c r="C36" s="8">
        <v>51672.6</v>
      </c>
      <c r="D36" s="8">
        <v>51877.15</v>
      </c>
      <c r="E36" s="8">
        <v>51456.2</v>
      </c>
      <c r="F36" s="3" t="s">
        <v>20</v>
      </c>
      <c r="G36" s="8">
        <f>MAX(B36-$A$3,0)</f>
        <v>264</v>
      </c>
      <c r="H36" s="8">
        <f>MAX(B36-$A$5,0)</f>
        <v>0</v>
      </c>
      <c r="I36" s="3">
        <f>MIN($A$4-B36,0)*2</f>
        <v>-128</v>
      </c>
      <c r="J36" s="3">
        <f t="shared" ref="J36" si="10">SUM(G36:I36)</f>
        <v>136</v>
      </c>
      <c r="K36" s="3">
        <f t="shared" ref="K36" si="11">J36+$E$7</f>
        <v>59.800000000000182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45">
      <c r="A37" s="10">
        <v>45506</v>
      </c>
      <c r="B37" s="8">
        <v>51350.15</v>
      </c>
      <c r="C37" s="8">
        <v>51172.25</v>
      </c>
      <c r="D37" s="8">
        <v>51608.7</v>
      </c>
      <c r="E37" s="8">
        <v>51087.85</v>
      </c>
      <c r="F37" s="3" t="s">
        <v>21</v>
      </c>
      <c r="G37" s="8">
        <f t="shared" ref="G37:G54" si="12">MAX(B37-$A$3,0)</f>
        <v>50.150000000001455</v>
      </c>
      <c r="H37" s="8">
        <f t="shared" ref="H37:H54" si="13">MAX(B37-$A$5,0)</f>
        <v>0</v>
      </c>
      <c r="I37" s="3">
        <f t="shared" ref="I37:I54" si="14">MIN($A$4-B37,0)*2</f>
        <v>0</v>
      </c>
      <c r="J37" s="3">
        <f t="shared" ref="J37:J54" si="15">SUM(G37:I37)</f>
        <v>50.150000000001455</v>
      </c>
      <c r="K37" s="3">
        <f t="shared" ref="K37:K54" si="16">J37+$E$7</f>
        <v>-26.049999999998363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45">
      <c r="A38" s="10">
        <v>45509</v>
      </c>
      <c r="B38" s="8">
        <v>50092.1</v>
      </c>
      <c r="C38" s="8">
        <v>50586.25</v>
      </c>
      <c r="D38" s="8">
        <v>50747.55</v>
      </c>
      <c r="E38" s="8">
        <v>49719.1</v>
      </c>
      <c r="F38" s="3" t="s">
        <v>22</v>
      </c>
      <c r="G38" s="8">
        <f t="shared" si="12"/>
        <v>0</v>
      </c>
      <c r="H38" s="8">
        <f t="shared" si="13"/>
        <v>0</v>
      </c>
      <c r="I38" s="3">
        <f t="shared" si="14"/>
        <v>0</v>
      </c>
      <c r="J38" s="3">
        <f t="shared" si="15"/>
        <v>0</v>
      </c>
      <c r="K38" s="3">
        <f t="shared" si="16"/>
        <v>-76.199999999999818</v>
      </c>
    </row>
    <row r="39" spans="1:22" x14ac:dyDescent="0.45">
      <c r="A39" s="10">
        <v>45510</v>
      </c>
      <c r="B39" s="8">
        <v>49748.3</v>
      </c>
      <c r="C39" s="8">
        <v>50436.9</v>
      </c>
      <c r="D39" s="8">
        <v>50688.800000000003</v>
      </c>
      <c r="E39" s="8">
        <v>49659.05</v>
      </c>
      <c r="F39" s="3" t="s">
        <v>23</v>
      </c>
      <c r="G39" s="8">
        <f t="shared" si="12"/>
        <v>0</v>
      </c>
      <c r="H39" s="8">
        <f t="shared" si="13"/>
        <v>0</v>
      </c>
      <c r="I39" s="3">
        <f t="shared" si="14"/>
        <v>0</v>
      </c>
      <c r="J39" s="3">
        <f t="shared" si="15"/>
        <v>0</v>
      </c>
      <c r="K39" s="3">
        <f t="shared" si="16"/>
        <v>-76.199999999999818</v>
      </c>
    </row>
    <row r="40" spans="1:22" x14ac:dyDescent="0.45">
      <c r="A40" s="10">
        <v>45511</v>
      </c>
      <c r="B40" s="8">
        <v>50119</v>
      </c>
      <c r="C40" s="8">
        <v>50286.2</v>
      </c>
      <c r="D40" s="8">
        <v>50292.45</v>
      </c>
      <c r="E40" s="8">
        <v>49782.2</v>
      </c>
      <c r="F40" s="3" t="s">
        <v>24</v>
      </c>
      <c r="G40" s="8">
        <f t="shared" si="12"/>
        <v>0</v>
      </c>
      <c r="H40" s="8">
        <f t="shared" si="13"/>
        <v>0</v>
      </c>
      <c r="I40" s="3">
        <f t="shared" si="14"/>
        <v>0</v>
      </c>
      <c r="J40" s="3">
        <f t="shared" si="15"/>
        <v>0</v>
      </c>
      <c r="K40" s="3">
        <f t="shared" si="16"/>
        <v>-76.199999999999818</v>
      </c>
    </row>
    <row r="41" spans="1:22" x14ac:dyDescent="0.45">
      <c r="A41" s="10">
        <v>45512</v>
      </c>
      <c r="B41" s="8">
        <v>50156.7</v>
      </c>
      <c r="C41" s="8">
        <v>50051.9</v>
      </c>
      <c r="D41" s="8">
        <v>50440.75</v>
      </c>
      <c r="E41" s="8">
        <v>49829.599999999999</v>
      </c>
      <c r="F41" s="3" t="s">
        <v>25</v>
      </c>
      <c r="G41" s="8">
        <f t="shared" si="12"/>
        <v>0</v>
      </c>
      <c r="H41" s="8">
        <f t="shared" si="13"/>
        <v>0</v>
      </c>
      <c r="I41" s="3">
        <f t="shared" si="14"/>
        <v>0</v>
      </c>
      <c r="J41" s="3">
        <f t="shared" si="15"/>
        <v>0</v>
      </c>
      <c r="K41" s="3">
        <f t="shared" si="16"/>
        <v>-76.199999999999818</v>
      </c>
    </row>
    <row r="42" spans="1:22" x14ac:dyDescent="0.45">
      <c r="A42" s="10">
        <v>45513</v>
      </c>
      <c r="B42" s="8">
        <v>50484.5</v>
      </c>
      <c r="C42" s="8">
        <v>50612.1</v>
      </c>
      <c r="D42" s="8">
        <v>50707.75</v>
      </c>
      <c r="E42" s="8">
        <v>50386.45</v>
      </c>
      <c r="F42" s="3" t="s">
        <v>26</v>
      </c>
      <c r="G42" s="8">
        <f t="shared" si="12"/>
        <v>0</v>
      </c>
      <c r="H42" s="8">
        <f t="shared" si="13"/>
        <v>0</v>
      </c>
      <c r="I42" s="3">
        <f t="shared" si="14"/>
        <v>0</v>
      </c>
      <c r="J42" s="3">
        <f t="shared" si="15"/>
        <v>0</v>
      </c>
      <c r="K42" s="3">
        <f t="shared" si="16"/>
        <v>-76.199999999999818</v>
      </c>
    </row>
    <row r="43" spans="1:22" x14ac:dyDescent="0.45">
      <c r="A43" s="10">
        <v>45516</v>
      </c>
      <c r="B43" s="8">
        <v>50577.95</v>
      </c>
      <c r="C43" s="8">
        <v>50412.6</v>
      </c>
      <c r="D43" s="8">
        <v>50830.7</v>
      </c>
      <c r="E43" s="8">
        <v>50149.25</v>
      </c>
      <c r="F43" s="3" t="s">
        <v>27</v>
      </c>
      <c r="G43" s="8">
        <f t="shared" si="12"/>
        <v>0</v>
      </c>
      <c r="H43" s="8">
        <f t="shared" si="13"/>
        <v>0</v>
      </c>
      <c r="I43" s="3">
        <f t="shared" si="14"/>
        <v>0</v>
      </c>
      <c r="J43" s="3">
        <f t="shared" si="15"/>
        <v>0</v>
      </c>
      <c r="K43" s="3">
        <f t="shared" si="16"/>
        <v>-76.199999999999818</v>
      </c>
    </row>
    <row r="44" spans="1:22" x14ac:dyDescent="0.45">
      <c r="A44" s="10">
        <v>45517</v>
      </c>
      <c r="B44" s="8">
        <v>49831.85</v>
      </c>
      <c r="C44" s="8">
        <v>50395.35</v>
      </c>
      <c r="D44" s="8">
        <v>50559.25</v>
      </c>
      <c r="E44" s="8">
        <v>49785.1</v>
      </c>
      <c r="F44" s="3" t="s">
        <v>28</v>
      </c>
      <c r="G44" s="8">
        <f t="shared" si="12"/>
        <v>0</v>
      </c>
      <c r="H44" s="8">
        <f t="shared" si="13"/>
        <v>0</v>
      </c>
      <c r="I44" s="3">
        <f t="shared" si="14"/>
        <v>0</v>
      </c>
      <c r="J44" s="3">
        <f t="shared" si="15"/>
        <v>0</v>
      </c>
      <c r="K44" s="3">
        <f t="shared" si="16"/>
        <v>-76.199999999999818</v>
      </c>
    </row>
    <row r="45" spans="1:22" x14ac:dyDescent="0.45">
      <c r="A45" s="10">
        <v>45518</v>
      </c>
      <c r="B45" s="8">
        <v>49727.3</v>
      </c>
      <c r="C45" s="8">
        <v>49887.15</v>
      </c>
      <c r="D45" s="8">
        <v>49959.25</v>
      </c>
      <c r="E45" s="8">
        <v>49654.65</v>
      </c>
      <c r="F45" s="3" t="s">
        <v>29</v>
      </c>
      <c r="G45" s="8">
        <f t="shared" si="12"/>
        <v>0</v>
      </c>
      <c r="H45" s="8">
        <f t="shared" si="13"/>
        <v>0</v>
      </c>
      <c r="I45" s="3">
        <f t="shared" si="14"/>
        <v>0</v>
      </c>
      <c r="J45" s="3">
        <f t="shared" si="15"/>
        <v>0</v>
      </c>
      <c r="K45" s="3">
        <f t="shared" si="16"/>
        <v>-76.199999999999818</v>
      </c>
    </row>
    <row r="46" spans="1:22" x14ac:dyDescent="0.45">
      <c r="A46" s="10">
        <v>45520</v>
      </c>
      <c r="B46" s="8">
        <v>50516.9</v>
      </c>
      <c r="C46" s="8">
        <v>50133</v>
      </c>
      <c r="D46" s="8">
        <v>50603.4</v>
      </c>
      <c r="E46" s="8">
        <v>49806.05</v>
      </c>
      <c r="F46" s="3" t="s">
        <v>30</v>
      </c>
      <c r="G46" s="8">
        <f t="shared" si="12"/>
        <v>0</v>
      </c>
      <c r="H46" s="8">
        <f t="shared" si="13"/>
        <v>0</v>
      </c>
      <c r="I46" s="3">
        <f t="shared" si="14"/>
        <v>0</v>
      </c>
      <c r="J46" s="3">
        <f t="shared" si="15"/>
        <v>0</v>
      </c>
      <c r="K46" s="3">
        <f t="shared" si="16"/>
        <v>-76.199999999999818</v>
      </c>
    </row>
    <row r="47" spans="1:22" x14ac:dyDescent="0.45">
      <c r="A47" s="10">
        <v>45523</v>
      </c>
      <c r="B47" s="8">
        <v>50368.35</v>
      </c>
      <c r="C47" s="8">
        <v>50683.55</v>
      </c>
      <c r="D47" s="8">
        <v>50728.25</v>
      </c>
      <c r="E47" s="8">
        <v>50283.55</v>
      </c>
      <c r="F47" s="3" t="s">
        <v>31</v>
      </c>
      <c r="G47" s="8">
        <f t="shared" si="12"/>
        <v>0</v>
      </c>
      <c r="H47" s="8">
        <f t="shared" si="13"/>
        <v>0</v>
      </c>
      <c r="I47" s="3">
        <f t="shared" si="14"/>
        <v>0</v>
      </c>
      <c r="J47" s="3">
        <f t="shared" si="15"/>
        <v>0</v>
      </c>
      <c r="K47" s="3">
        <f t="shared" si="16"/>
        <v>-76.199999999999818</v>
      </c>
    </row>
    <row r="48" spans="1:22" x14ac:dyDescent="0.45">
      <c r="A48" s="10">
        <v>45524</v>
      </c>
      <c r="B48" s="8">
        <v>50803.15</v>
      </c>
      <c r="C48" s="8">
        <v>50417.25</v>
      </c>
      <c r="D48" s="8">
        <v>51025.599999999999</v>
      </c>
      <c r="E48" s="8">
        <v>50398.6</v>
      </c>
      <c r="F48" s="3" t="s">
        <v>32</v>
      </c>
      <c r="G48" s="8">
        <f t="shared" si="12"/>
        <v>0</v>
      </c>
      <c r="H48" s="8">
        <f t="shared" si="13"/>
        <v>0</v>
      </c>
      <c r="I48" s="3">
        <f t="shared" si="14"/>
        <v>0</v>
      </c>
      <c r="J48" s="3">
        <f t="shared" si="15"/>
        <v>0</v>
      </c>
      <c r="K48" s="3">
        <f t="shared" si="16"/>
        <v>-76.199999999999818</v>
      </c>
    </row>
    <row r="49" spans="1:12" x14ac:dyDescent="0.45">
      <c r="A49" s="12">
        <v>45525</v>
      </c>
      <c r="B49" s="9">
        <v>50685.55</v>
      </c>
      <c r="C49" s="9">
        <v>50666.65</v>
      </c>
      <c r="D49" s="9">
        <v>50772.45</v>
      </c>
      <c r="E49" s="9">
        <v>50333.35</v>
      </c>
      <c r="F49" s="6" t="s">
        <v>33</v>
      </c>
      <c r="G49" s="9">
        <f t="shared" si="12"/>
        <v>0</v>
      </c>
      <c r="H49" s="9">
        <f t="shared" si="13"/>
        <v>0</v>
      </c>
      <c r="I49" s="6">
        <f t="shared" si="14"/>
        <v>0</v>
      </c>
      <c r="J49" s="6">
        <f t="shared" si="15"/>
        <v>0</v>
      </c>
      <c r="K49" s="6">
        <f t="shared" si="16"/>
        <v>-76.199999999999818</v>
      </c>
      <c r="L49" s="16" t="s">
        <v>49</v>
      </c>
    </row>
    <row r="50" spans="1:12" x14ac:dyDescent="0.45">
      <c r="A50" s="10">
        <v>45526</v>
      </c>
      <c r="B50" s="8">
        <v>50985.7</v>
      </c>
      <c r="C50" s="8">
        <v>50894.8</v>
      </c>
      <c r="D50" s="8">
        <v>51080</v>
      </c>
      <c r="E50" s="8">
        <v>50794.45</v>
      </c>
      <c r="F50" s="3" t="s">
        <v>34</v>
      </c>
      <c r="G50" s="8">
        <f t="shared" si="12"/>
        <v>0</v>
      </c>
      <c r="H50" s="8">
        <f t="shared" si="13"/>
        <v>0</v>
      </c>
      <c r="I50" s="3">
        <f t="shared" si="14"/>
        <v>0</v>
      </c>
      <c r="J50" s="3">
        <f t="shared" si="15"/>
        <v>0</v>
      </c>
      <c r="K50" s="3">
        <f t="shared" si="16"/>
        <v>-76.199999999999818</v>
      </c>
    </row>
    <row r="51" spans="1:12" x14ac:dyDescent="0.45">
      <c r="A51" s="10">
        <v>45527</v>
      </c>
      <c r="B51" s="8">
        <v>50933.45</v>
      </c>
      <c r="C51" s="8">
        <v>51040.05</v>
      </c>
      <c r="D51" s="8">
        <v>51117.85</v>
      </c>
      <c r="E51" s="8">
        <v>50856.7</v>
      </c>
      <c r="F51" s="3" t="s">
        <v>35</v>
      </c>
      <c r="G51" s="8">
        <f t="shared" si="12"/>
        <v>0</v>
      </c>
      <c r="H51" s="8">
        <f t="shared" si="13"/>
        <v>0</v>
      </c>
      <c r="I51" s="3">
        <f t="shared" si="14"/>
        <v>0</v>
      </c>
      <c r="J51" s="3">
        <f t="shared" si="15"/>
        <v>0</v>
      </c>
      <c r="K51" s="3">
        <f t="shared" si="16"/>
        <v>-76.199999999999818</v>
      </c>
    </row>
    <row r="52" spans="1:12" x14ac:dyDescent="0.45">
      <c r="A52" s="10">
        <v>45530</v>
      </c>
      <c r="B52" s="8">
        <v>51148.1</v>
      </c>
      <c r="C52" s="8">
        <v>51100.65</v>
      </c>
      <c r="D52" s="8">
        <v>51317.85</v>
      </c>
      <c r="E52" s="8">
        <v>51061.55</v>
      </c>
      <c r="F52" s="3" t="s">
        <v>36</v>
      </c>
      <c r="G52" s="8">
        <f t="shared" si="12"/>
        <v>0</v>
      </c>
      <c r="H52" s="8">
        <f t="shared" si="13"/>
        <v>0</v>
      </c>
      <c r="I52" s="3">
        <f t="shared" si="14"/>
        <v>0</v>
      </c>
      <c r="J52" s="3">
        <f t="shared" si="15"/>
        <v>0</v>
      </c>
      <c r="K52" s="3">
        <f t="shared" si="16"/>
        <v>-76.199999999999818</v>
      </c>
    </row>
    <row r="53" spans="1:12" x14ac:dyDescent="0.45">
      <c r="A53" s="10">
        <v>45531</v>
      </c>
      <c r="B53" s="8">
        <v>51278.75</v>
      </c>
      <c r="C53" s="8">
        <v>51214.05</v>
      </c>
      <c r="D53" s="8">
        <v>51404.7</v>
      </c>
      <c r="E53" s="8">
        <v>50938.1</v>
      </c>
      <c r="F53" s="3" t="s">
        <v>37</v>
      </c>
      <c r="G53" s="8">
        <f t="shared" si="12"/>
        <v>0</v>
      </c>
      <c r="H53" s="8">
        <f t="shared" si="13"/>
        <v>0</v>
      </c>
      <c r="I53" s="3">
        <f t="shared" si="14"/>
        <v>0</v>
      </c>
      <c r="J53" s="3">
        <f t="shared" si="15"/>
        <v>0</v>
      </c>
      <c r="K53" s="3">
        <f t="shared" si="16"/>
        <v>-76.199999999999818</v>
      </c>
    </row>
    <row r="54" spans="1:12" x14ac:dyDescent="0.45">
      <c r="A54" s="10">
        <v>45532</v>
      </c>
      <c r="B54" s="8">
        <v>51143.85</v>
      </c>
      <c r="C54" s="8">
        <v>51208.95</v>
      </c>
      <c r="D54" s="8">
        <v>51260.75</v>
      </c>
      <c r="E54" s="8">
        <v>51033.7</v>
      </c>
      <c r="F54" s="3" t="s">
        <v>38</v>
      </c>
      <c r="G54" s="8">
        <f t="shared" si="12"/>
        <v>0</v>
      </c>
      <c r="H54" s="8">
        <f t="shared" si="13"/>
        <v>0</v>
      </c>
      <c r="I54" s="3">
        <f t="shared" si="14"/>
        <v>0</v>
      </c>
      <c r="J54" s="3">
        <f t="shared" si="15"/>
        <v>0</v>
      </c>
      <c r="K54" s="3">
        <f t="shared" si="16"/>
        <v>-76.199999999999818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D591-0C50-441F-90F4-618D35C82C29}">
  <dimension ref="A1:K53"/>
  <sheetViews>
    <sheetView topLeftCell="A6" workbookViewId="0">
      <selection activeCell="C12" sqref="C12"/>
    </sheetView>
  </sheetViews>
  <sheetFormatPr defaultColWidth="8.796875" defaultRowHeight="14.25" x14ac:dyDescent="0.45"/>
  <cols>
    <col min="1" max="1" width="15.06640625" bestFit="1" customWidth="1"/>
    <col min="2" max="2" width="14.19921875" customWidth="1"/>
    <col min="3" max="3" width="15.19921875" customWidth="1"/>
    <col min="4" max="4" width="12.265625" customWidth="1"/>
    <col min="5" max="5" width="15.796875" customWidth="1"/>
    <col min="6" max="6" width="9.1328125" bestFit="1" customWidth="1"/>
  </cols>
  <sheetData>
    <row r="1" spans="1:6" x14ac:dyDescent="0.45">
      <c r="A1" s="1" t="s">
        <v>12</v>
      </c>
      <c r="B1" s="1" t="s">
        <v>0</v>
      </c>
      <c r="C1" s="1" t="s">
        <v>1</v>
      </c>
      <c r="D1" s="1"/>
      <c r="E1" s="1" t="s">
        <v>13</v>
      </c>
      <c r="F1">
        <v>51564</v>
      </c>
    </row>
    <row r="2" spans="1:6" x14ac:dyDescent="0.45">
      <c r="A2" s="1" t="s">
        <v>2</v>
      </c>
      <c r="B2" s="2">
        <v>45505</v>
      </c>
      <c r="C2" s="2">
        <v>45505</v>
      </c>
      <c r="D2" s="2"/>
      <c r="E2" s="1" t="s">
        <v>14</v>
      </c>
      <c r="F2">
        <v>15</v>
      </c>
    </row>
    <row r="3" spans="1:6" x14ac:dyDescent="0.45">
      <c r="A3">
        <v>51300</v>
      </c>
      <c r="B3" s="5">
        <v>1060.75</v>
      </c>
      <c r="C3">
        <v>610.35</v>
      </c>
      <c r="E3" s="1" t="s">
        <v>15</v>
      </c>
      <c r="F3" s="2">
        <v>45532</v>
      </c>
    </row>
    <row r="4" spans="1:6" x14ac:dyDescent="0.45">
      <c r="A4" s="1">
        <v>51500</v>
      </c>
      <c r="B4" s="17">
        <v>940.7</v>
      </c>
      <c r="C4" s="4">
        <v>691.1</v>
      </c>
      <c r="D4" s="4"/>
    </row>
    <row r="5" spans="1:6" x14ac:dyDescent="0.45">
      <c r="A5" s="1">
        <v>51700</v>
      </c>
      <c r="B5" s="1">
        <v>896.85</v>
      </c>
      <c r="C5" s="1">
        <v>765.4</v>
      </c>
    </row>
    <row r="6" spans="1:6" x14ac:dyDescent="0.45">
      <c r="B6" t="s">
        <v>2</v>
      </c>
      <c r="C6" t="s">
        <v>3</v>
      </c>
    </row>
    <row r="7" spans="1:6" x14ac:dyDescent="0.45">
      <c r="A7" t="s">
        <v>9</v>
      </c>
      <c r="B7">
        <f>A5</f>
        <v>51700</v>
      </c>
      <c r="C7">
        <f>-B5</f>
        <v>-896.85</v>
      </c>
    </row>
    <row r="8" spans="1:6" x14ac:dyDescent="0.45">
      <c r="A8" t="s">
        <v>10</v>
      </c>
      <c r="B8">
        <f>A5</f>
        <v>51700</v>
      </c>
      <c r="C8">
        <f>-C5</f>
        <v>-765.4</v>
      </c>
    </row>
    <row r="9" spans="1:6" x14ac:dyDescent="0.45">
      <c r="A9" t="s">
        <v>11</v>
      </c>
      <c r="C9">
        <f>SUM(C7:C8)</f>
        <v>-1662.25</v>
      </c>
      <c r="E9" t="s">
        <v>50</v>
      </c>
    </row>
    <row r="10" spans="1:6" x14ac:dyDescent="0.45">
      <c r="E10">
        <f>B8-C9</f>
        <v>53362.25</v>
      </c>
      <c r="F10">
        <f>B8+C9</f>
        <v>50037.75</v>
      </c>
    </row>
    <row r="11" spans="1:6" x14ac:dyDescent="0.45">
      <c r="A11" s="6" t="s">
        <v>6</v>
      </c>
      <c r="B11" s="6" t="s">
        <v>16</v>
      </c>
      <c r="C11" s="6" t="s">
        <v>17</v>
      </c>
      <c r="D11" s="6" t="s">
        <v>7</v>
      </c>
      <c r="E11" s="6" t="s">
        <v>8</v>
      </c>
    </row>
    <row r="12" spans="1:6" x14ac:dyDescent="0.45">
      <c r="A12" s="3">
        <v>49500</v>
      </c>
      <c r="B12" s="3">
        <f t="shared" ref="B12:B32" si="0">MAX(A12-$B$7,0)</f>
        <v>0</v>
      </c>
      <c r="C12" s="3">
        <f t="shared" ref="C12:C32" si="1">MAX($B$8-A12,0)</f>
        <v>2200</v>
      </c>
      <c r="D12" s="3">
        <f t="shared" ref="D12:D32" si="2">C12+B12</f>
        <v>2200</v>
      </c>
      <c r="E12" s="3">
        <f t="shared" ref="E12:E32" si="3">D12+$C$9</f>
        <v>537.75</v>
      </c>
    </row>
    <row r="13" spans="1:6" x14ac:dyDescent="0.45">
      <c r="A13" s="3">
        <v>49700</v>
      </c>
      <c r="B13" s="3">
        <f t="shared" si="0"/>
        <v>0</v>
      </c>
      <c r="C13" s="3">
        <f t="shared" si="1"/>
        <v>2000</v>
      </c>
      <c r="D13" s="3">
        <f t="shared" si="2"/>
        <v>2000</v>
      </c>
      <c r="E13" s="3">
        <f t="shared" si="3"/>
        <v>337.75</v>
      </c>
    </row>
    <row r="14" spans="1:6" x14ac:dyDescent="0.45">
      <c r="A14" s="3">
        <v>49900</v>
      </c>
      <c r="B14" s="3">
        <f t="shared" si="0"/>
        <v>0</v>
      </c>
      <c r="C14" s="3">
        <f t="shared" si="1"/>
        <v>1800</v>
      </c>
      <c r="D14" s="3">
        <f t="shared" si="2"/>
        <v>1800</v>
      </c>
      <c r="E14" s="3">
        <f t="shared" si="3"/>
        <v>137.75</v>
      </c>
    </row>
    <row r="15" spans="1:6" x14ac:dyDescent="0.45">
      <c r="A15" s="3">
        <v>50100</v>
      </c>
      <c r="B15" s="3">
        <f t="shared" si="0"/>
        <v>0</v>
      </c>
      <c r="C15" s="3">
        <f t="shared" si="1"/>
        <v>1600</v>
      </c>
      <c r="D15" s="3">
        <f t="shared" si="2"/>
        <v>1600</v>
      </c>
      <c r="E15" s="3">
        <f t="shared" si="3"/>
        <v>-62.25</v>
      </c>
    </row>
    <row r="16" spans="1:6" x14ac:dyDescent="0.45">
      <c r="A16" s="3">
        <v>50300</v>
      </c>
      <c r="B16" s="3">
        <f t="shared" si="0"/>
        <v>0</v>
      </c>
      <c r="C16" s="3">
        <f t="shared" si="1"/>
        <v>1400</v>
      </c>
      <c r="D16" s="3">
        <f t="shared" si="2"/>
        <v>1400</v>
      </c>
      <c r="E16" s="3">
        <f t="shared" si="3"/>
        <v>-262.25</v>
      </c>
    </row>
    <row r="17" spans="1:5" x14ac:dyDescent="0.45">
      <c r="A17" s="3">
        <v>50500</v>
      </c>
      <c r="B17" s="3">
        <f t="shared" si="0"/>
        <v>0</v>
      </c>
      <c r="C17" s="3">
        <f t="shared" si="1"/>
        <v>1200</v>
      </c>
      <c r="D17" s="3">
        <f t="shared" si="2"/>
        <v>1200</v>
      </c>
      <c r="E17" s="3">
        <f t="shared" si="3"/>
        <v>-462.25</v>
      </c>
    </row>
    <row r="18" spans="1:5" x14ac:dyDescent="0.45">
      <c r="A18" s="3">
        <v>50700</v>
      </c>
      <c r="B18" s="3">
        <f t="shared" si="0"/>
        <v>0</v>
      </c>
      <c r="C18" s="3">
        <f t="shared" si="1"/>
        <v>1000</v>
      </c>
      <c r="D18" s="3">
        <f t="shared" si="2"/>
        <v>1000</v>
      </c>
      <c r="E18" s="3">
        <f t="shared" si="3"/>
        <v>-662.25</v>
      </c>
    </row>
    <row r="19" spans="1:5" x14ac:dyDescent="0.45">
      <c r="A19" s="3">
        <v>50900</v>
      </c>
      <c r="B19" s="3">
        <f t="shared" si="0"/>
        <v>0</v>
      </c>
      <c r="C19" s="3">
        <f t="shared" si="1"/>
        <v>800</v>
      </c>
      <c r="D19" s="3">
        <f t="shared" si="2"/>
        <v>800</v>
      </c>
      <c r="E19" s="3">
        <f t="shared" si="3"/>
        <v>-862.25</v>
      </c>
    </row>
    <row r="20" spans="1:5" x14ac:dyDescent="0.45">
      <c r="A20" s="3">
        <v>51100</v>
      </c>
      <c r="B20" s="3">
        <f t="shared" si="0"/>
        <v>0</v>
      </c>
      <c r="C20" s="3">
        <f t="shared" si="1"/>
        <v>600</v>
      </c>
      <c r="D20" s="3">
        <f t="shared" si="2"/>
        <v>600</v>
      </c>
      <c r="E20" s="3">
        <f t="shared" si="3"/>
        <v>-1062.25</v>
      </c>
    </row>
    <row r="21" spans="1:5" x14ac:dyDescent="0.45">
      <c r="A21" s="3">
        <v>51300</v>
      </c>
      <c r="B21" s="3">
        <f t="shared" si="0"/>
        <v>0</v>
      </c>
      <c r="C21" s="3">
        <f t="shared" si="1"/>
        <v>400</v>
      </c>
      <c r="D21" s="3">
        <f t="shared" si="2"/>
        <v>400</v>
      </c>
      <c r="E21" s="3">
        <f t="shared" si="3"/>
        <v>-1262.25</v>
      </c>
    </row>
    <row r="22" spans="1:5" x14ac:dyDescent="0.45">
      <c r="A22" s="3">
        <v>51500</v>
      </c>
      <c r="B22" s="3">
        <f t="shared" si="0"/>
        <v>0</v>
      </c>
      <c r="C22" s="3">
        <f t="shared" si="1"/>
        <v>200</v>
      </c>
      <c r="D22" s="3">
        <f t="shared" si="2"/>
        <v>200</v>
      </c>
      <c r="E22" s="3">
        <f t="shared" si="3"/>
        <v>-1462.25</v>
      </c>
    </row>
    <row r="23" spans="1:5" x14ac:dyDescent="0.45">
      <c r="A23" s="3">
        <v>51700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-1662.25</v>
      </c>
    </row>
    <row r="24" spans="1:5" x14ac:dyDescent="0.45">
      <c r="A24" s="3">
        <v>51900</v>
      </c>
      <c r="B24" s="3">
        <f t="shared" si="0"/>
        <v>200</v>
      </c>
      <c r="C24" s="3">
        <f t="shared" si="1"/>
        <v>0</v>
      </c>
      <c r="D24" s="3">
        <f t="shared" si="2"/>
        <v>200</v>
      </c>
      <c r="E24" s="3">
        <f t="shared" si="3"/>
        <v>-1462.25</v>
      </c>
    </row>
    <row r="25" spans="1:5" x14ac:dyDescent="0.45">
      <c r="A25" s="3">
        <v>52100</v>
      </c>
      <c r="B25" s="3">
        <f t="shared" si="0"/>
        <v>400</v>
      </c>
      <c r="C25" s="3">
        <f t="shared" si="1"/>
        <v>0</v>
      </c>
      <c r="D25" s="3">
        <f t="shared" si="2"/>
        <v>400</v>
      </c>
      <c r="E25" s="3">
        <f t="shared" si="3"/>
        <v>-1262.25</v>
      </c>
    </row>
    <row r="26" spans="1:5" x14ac:dyDescent="0.45">
      <c r="A26" s="3">
        <v>52300</v>
      </c>
      <c r="B26" s="3">
        <f t="shared" si="0"/>
        <v>600</v>
      </c>
      <c r="C26" s="3">
        <f t="shared" si="1"/>
        <v>0</v>
      </c>
      <c r="D26" s="3">
        <f t="shared" si="2"/>
        <v>600</v>
      </c>
      <c r="E26" s="3">
        <f t="shared" si="3"/>
        <v>-1062.25</v>
      </c>
    </row>
    <row r="27" spans="1:5" x14ac:dyDescent="0.45">
      <c r="A27" s="3">
        <v>52500</v>
      </c>
      <c r="B27" s="3">
        <f t="shared" si="0"/>
        <v>800</v>
      </c>
      <c r="C27" s="3">
        <f t="shared" si="1"/>
        <v>0</v>
      </c>
      <c r="D27" s="3">
        <f t="shared" si="2"/>
        <v>800</v>
      </c>
      <c r="E27" s="3">
        <f t="shared" si="3"/>
        <v>-862.25</v>
      </c>
    </row>
    <row r="28" spans="1:5" x14ac:dyDescent="0.45">
      <c r="A28" s="3">
        <v>52700</v>
      </c>
      <c r="B28" s="3">
        <f t="shared" si="0"/>
        <v>1000</v>
      </c>
      <c r="C28" s="3">
        <f t="shared" si="1"/>
        <v>0</v>
      </c>
      <c r="D28" s="3">
        <f t="shared" si="2"/>
        <v>1000</v>
      </c>
      <c r="E28" s="3">
        <f t="shared" si="3"/>
        <v>-662.25</v>
      </c>
    </row>
    <row r="29" spans="1:5" x14ac:dyDescent="0.45">
      <c r="A29" s="3">
        <v>52900</v>
      </c>
      <c r="B29" s="3">
        <f t="shared" si="0"/>
        <v>1200</v>
      </c>
      <c r="C29" s="3">
        <f t="shared" si="1"/>
        <v>0</v>
      </c>
      <c r="D29" s="3">
        <f t="shared" si="2"/>
        <v>1200</v>
      </c>
      <c r="E29" s="3">
        <f t="shared" si="3"/>
        <v>-462.25</v>
      </c>
    </row>
    <row r="30" spans="1:5" x14ac:dyDescent="0.45">
      <c r="A30" s="3">
        <v>53100</v>
      </c>
      <c r="B30" s="3">
        <f t="shared" si="0"/>
        <v>1400</v>
      </c>
      <c r="C30" s="3">
        <f t="shared" si="1"/>
        <v>0</v>
      </c>
      <c r="D30" s="3">
        <f t="shared" si="2"/>
        <v>1400</v>
      </c>
      <c r="E30" s="3">
        <f t="shared" si="3"/>
        <v>-262.25</v>
      </c>
    </row>
    <row r="31" spans="1:5" x14ac:dyDescent="0.45">
      <c r="A31" s="3">
        <v>53300</v>
      </c>
      <c r="B31" s="3">
        <f t="shared" si="0"/>
        <v>1600</v>
      </c>
      <c r="C31" s="3">
        <f t="shared" si="1"/>
        <v>0</v>
      </c>
      <c r="D31" s="3">
        <f t="shared" si="2"/>
        <v>1600</v>
      </c>
      <c r="E31" s="3">
        <f t="shared" si="3"/>
        <v>-62.25</v>
      </c>
    </row>
    <row r="32" spans="1:5" x14ac:dyDescent="0.45">
      <c r="A32" s="3">
        <v>53500</v>
      </c>
      <c r="B32" s="3">
        <f t="shared" si="0"/>
        <v>1800</v>
      </c>
      <c r="C32" s="3">
        <f t="shared" si="1"/>
        <v>0</v>
      </c>
      <c r="D32" s="3">
        <f t="shared" si="2"/>
        <v>1800</v>
      </c>
      <c r="E32" s="3">
        <f t="shared" si="3"/>
        <v>137.75</v>
      </c>
    </row>
    <row r="34" spans="1:11" x14ac:dyDescent="0.45">
      <c r="A34" s="6" t="s">
        <v>18</v>
      </c>
      <c r="B34" s="6" t="s">
        <v>19</v>
      </c>
      <c r="C34" s="6" t="s">
        <v>39</v>
      </c>
      <c r="D34" s="6" t="s">
        <v>40</v>
      </c>
      <c r="E34" s="6" t="s">
        <v>41</v>
      </c>
      <c r="F34" s="6" t="s">
        <v>42</v>
      </c>
      <c r="G34" s="6" t="s">
        <v>43</v>
      </c>
      <c r="H34" s="6" t="s">
        <v>16</v>
      </c>
      <c r="I34" s="6" t="s">
        <v>17</v>
      </c>
      <c r="J34" s="6" t="s">
        <v>7</v>
      </c>
      <c r="K34" s="6" t="s">
        <v>8</v>
      </c>
    </row>
    <row r="35" spans="1:11" x14ac:dyDescent="0.45">
      <c r="A35" s="10">
        <v>45505</v>
      </c>
      <c r="B35" s="8">
        <v>51564</v>
      </c>
      <c r="C35" s="8">
        <v>51672.6</v>
      </c>
      <c r="D35" s="8">
        <v>51877.15</v>
      </c>
      <c r="E35" s="8">
        <v>51456.2</v>
      </c>
      <c r="F35" s="3" t="s">
        <v>20</v>
      </c>
      <c r="G35" s="11">
        <v>2.0000000000000001E-4</v>
      </c>
      <c r="H35" s="8">
        <f>MAX(B35-$B$7,0)</f>
        <v>0</v>
      </c>
      <c r="I35" s="8">
        <f>MAX($B$8-B35,0)</f>
        <v>136</v>
      </c>
      <c r="J35" s="3">
        <f t="shared" ref="J35" si="4">I35+H35</f>
        <v>136</v>
      </c>
      <c r="K35" s="3">
        <f t="shared" ref="K35" si="5">J35+$C$9</f>
        <v>-1526.25</v>
      </c>
    </row>
    <row r="36" spans="1:11" x14ac:dyDescent="0.45">
      <c r="A36" s="10">
        <v>45506</v>
      </c>
      <c r="B36" s="8">
        <v>51350.15</v>
      </c>
      <c r="C36" s="8">
        <v>51172.25</v>
      </c>
      <c r="D36" s="8">
        <v>51608.7</v>
      </c>
      <c r="E36" s="8">
        <v>51087.85</v>
      </c>
      <c r="F36" s="3" t="s">
        <v>21</v>
      </c>
      <c r="G36" s="11">
        <v>-4.1000000000000003E-3</v>
      </c>
      <c r="H36" s="8">
        <f t="shared" ref="H36:H53" si="6">MAX(B36-$B$7,0)</f>
        <v>0</v>
      </c>
      <c r="I36" s="8">
        <f t="shared" ref="I36:I53" si="7">MAX($B$8-B36,0)</f>
        <v>349.84999999999854</v>
      </c>
      <c r="J36" s="3">
        <f t="shared" ref="J36:J53" si="8">I36+H36</f>
        <v>349.84999999999854</v>
      </c>
      <c r="K36" s="3">
        <f t="shared" ref="K36:K53" si="9">J36+$C$9</f>
        <v>-1312.4000000000015</v>
      </c>
    </row>
    <row r="37" spans="1:11" x14ac:dyDescent="0.45">
      <c r="A37" s="10">
        <v>45509</v>
      </c>
      <c r="B37" s="8">
        <v>50092.1</v>
      </c>
      <c r="C37" s="8">
        <v>50586.25</v>
      </c>
      <c r="D37" s="8">
        <v>50747.55</v>
      </c>
      <c r="E37" s="8">
        <v>49719.1</v>
      </c>
      <c r="F37" s="3" t="s">
        <v>22</v>
      </c>
      <c r="G37" s="11">
        <v>-2.4500000000000001E-2</v>
      </c>
      <c r="H37" s="8">
        <f t="shared" si="6"/>
        <v>0</v>
      </c>
      <c r="I37" s="8">
        <f t="shared" si="7"/>
        <v>1607.9000000000015</v>
      </c>
      <c r="J37" s="3">
        <f t="shared" si="8"/>
        <v>1607.9000000000015</v>
      </c>
      <c r="K37" s="3">
        <f t="shared" si="9"/>
        <v>-54.349999999998545</v>
      </c>
    </row>
    <row r="38" spans="1:11" x14ac:dyDescent="0.45">
      <c r="A38" s="10">
        <v>45510</v>
      </c>
      <c r="B38" s="8">
        <v>49748.3</v>
      </c>
      <c r="C38" s="8">
        <v>50436.9</v>
      </c>
      <c r="D38" s="8">
        <v>50688.800000000003</v>
      </c>
      <c r="E38" s="8">
        <v>49659.05</v>
      </c>
      <c r="F38" s="3" t="s">
        <v>23</v>
      </c>
      <c r="G38" s="11">
        <v>-6.8999999999999999E-3</v>
      </c>
      <c r="H38" s="8">
        <f t="shared" si="6"/>
        <v>0</v>
      </c>
      <c r="I38" s="8">
        <f t="shared" si="7"/>
        <v>1951.6999999999971</v>
      </c>
      <c r="J38" s="3">
        <f t="shared" si="8"/>
        <v>1951.6999999999971</v>
      </c>
      <c r="K38" s="3">
        <f t="shared" si="9"/>
        <v>289.44999999999709</v>
      </c>
    </row>
    <row r="39" spans="1:11" x14ac:dyDescent="0.45">
      <c r="A39" s="10">
        <v>45511</v>
      </c>
      <c r="B39" s="8">
        <v>50119</v>
      </c>
      <c r="C39" s="8">
        <v>50286.2</v>
      </c>
      <c r="D39" s="8">
        <v>50292.45</v>
      </c>
      <c r="E39" s="8">
        <v>49782.2</v>
      </c>
      <c r="F39" s="3" t="s">
        <v>24</v>
      </c>
      <c r="G39" s="11">
        <v>7.4999999999999997E-3</v>
      </c>
      <c r="H39" s="8">
        <f t="shared" si="6"/>
        <v>0</v>
      </c>
      <c r="I39" s="8">
        <f t="shared" si="7"/>
        <v>1581</v>
      </c>
      <c r="J39" s="3">
        <f t="shared" si="8"/>
        <v>1581</v>
      </c>
      <c r="K39" s="3">
        <f t="shared" si="9"/>
        <v>-81.25</v>
      </c>
    </row>
    <row r="40" spans="1:11" x14ac:dyDescent="0.45">
      <c r="A40" s="10">
        <v>45512</v>
      </c>
      <c r="B40" s="8">
        <v>50156.7</v>
      </c>
      <c r="C40" s="8">
        <v>50051.9</v>
      </c>
      <c r="D40" s="8">
        <v>50440.75</v>
      </c>
      <c r="E40" s="8">
        <v>49829.599999999999</v>
      </c>
      <c r="F40" s="3" t="s">
        <v>25</v>
      </c>
      <c r="G40" s="11">
        <v>8.0000000000000004E-4</v>
      </c>
      <c r="H40" s="8">
        <f t="shared" si="6"/>
        <v>0</v>
      </c>
      <c r="I40" s="8">
        <f t="shared" si="7"/>
        <v>1543.3000000000029</v>
      </c>
      <c r="J40" s="3">
        <f t="shared" si="8"/>
        <v>1543.3000000000029</v>
      </c>
      <c r="K40" s="3">
        <f t="shared" si="9"/>
        <v>-118.94999999999709</v>
      </c>
    </row>
    <row r="41" spans="1:11" x14ac:dyDescent="0.45">
      <c r="A41" s="10">
        <v>45513</v>
      </c>
      <c r="B41" s="8">
        <v>50484.5</v>
      </c>
      <c r="C41" s="8">
        <v>50612.1</v>
      </c>
      <c r="D41" s="8">
        <v>50707.75</v>
      </c>
      <c r="E41" s="8">
        <v>50386.45</v>
      </c>
      <c r="F41" s="3" t="s">
        <v>26</v>
      </c>
      <c r="G41" s="11">
        <v>6.4999999999999997E-3</v>
      </c>
      <c r="H41" s="8">
        <f t="shared" si="6"/>
        <v>0</v>
      </c>
      <c r="I41" s="8">
        <f t="shared" si="7"/>
        <v>1215.5</v>
      </c>
      <c r="J41" s="3">
        <f t="shared" si="8"/>
        <v>1215.5</v>
      </c>
      <c r="K41" s="3">
        <f t="shared" si="9"/>
        <v>-446.75</v>
      </c>
    </row>
    <row r="42" spans="1:11" x14ac:dyDescent="0.45">
      <c r="A42" s="10">
        <v>45516</v>
      </c>
      <c r="B42" s="8">
        <v>50577.95</v>
      </c>
      <c r="C42" s="8">
        <v>50412.6</v>
      </c>
      <c r="D42" s="8">
        <v>50830.7</v>
      </c>
      <c r="E42" s="8">
        <v>50149.25</v>
      </c>
      <c r="F42" s="3" t="s">
        <v>27</v>
      </c>
      <c r="G42" s="11">
        <v>1.9E-3</v>
      </c>
      <c r="H42" s="8">
        <f t="shared" si="6"/>
        <v>0</v>
      </c>
      <c r="I42" s="8">
        <f t="shared" si="7"/>
        <v>1122.0500000000029</v>
      </c>
      <c r="J42" s="3">
        <f t="shared" si="8"/>
        <v>1122.0500000000029</v>
      </c>
      <c r="K42" s="3">
        <f t="shared" si="9"/>
        <v>-540.19999999999709</v>
      </c>
    </row>
    <row r="43" spans="1:11" x14ac:dyDescent="0.45">
      <c r="A43" s="10">
        <v>45517</v>
      </c>
      <c r="B43" s="8">
        <v>49831.85</v>
      </c>
      <c r="C43" s="8">
        <v>50395.35</v>
      </c>
      <c r="D43" s="8">
        <v>50559.25</v>
      </c>
      <c r="E43" s="8">
        <v>49785.1</v>
      </c>
      <c r="F43" s="3" t="s">
        <v>28</v>
      </c>
      <c r="G43" s="11">
        <v>-1.4800000000000001E-2</v>
      </c>
      <c r="H43" s="8">
        <f t="shared" si="6"/>
        <v>0</v>
      </c>
      <c r="I43" s="8">
        <f t="shared" si="7"/>
        <v>1868.1500000000015</v>
      </c>
      <c r="J43" s="3">
        <f t="shared" si="8"/>
        <v>1868.1500000000015</v>
      </c>
      <c r="K43" s="3">
        <f t="shared" si="9"/>
        <v>205.90000000000146</v>
      </c>
    </row>
    <row r="44" spans="1:11" x14ac:dyDescent="0.45">
      <c r="A44" s="10">
        <v>45518</v>
      </c>
      <c r="B44" s="8">
        <v>49727.3</v>
      </c>
      <c r="C44" s="8">
        <v>49887.15</v>
      </c>
      <c r="D44" s="8">
        <v>49959.25</v>
      </c>
      <c r="E44" s="8">
        <v>49654.65</v>
      </c>
      <c r="F44" s="3" t="s">
        <v>29</v>
      </c>
      <c r="G44" s="11">
        <v>-2.0999999999999999E-3</v>
      </c>
      <c r="H44" s="8">
        <f t="shared" si="6"/>
        <v>0</v>
      </c>
      <c r="I44" s="8">
        <f t="shared" si="7"/>
        <v>1972.6999999999971</v>
      </c>
      <c r="J44" s="3">
        <f t="shared" si="8"/>
        <v>1972.6999999999971</v>
      </c>
      <c r="K44" s="3">
        <f t="shared" si="9"/>
        <v>310.44999999999709</v>
      </c>
    </row>
    <row r="45" spans="1:11" x14ac:dyDescent="0.45">
      <c r="A45" s="10">
        <v>45520</v>
      </c>
      <c r="B45" s="8">
        <v>50516.9</v>
      </c>
      <c r="C45" s="8">
        <v>50133</v>
      </c>
      <c r="D45" s="8">
        <v>50603.4</v>
      </c>
      <c r="E45" s="8">
        <v>49806.05</v>
      </c>
      <c r="F45" s="3" t="s">
        <v>30</v>
      </c>
      <c r="G45" s="11">
        <v>1.5900000000000001E-2</v>
      </c>
      <c r="H45" s="8">
        <f t="shared" si="6"/>
        <v>0</v>
      </c>
      <c r="I45" s="8">
        <f t="shared" si="7"/>
        <v>1183.0999999999985</v>
      </c>
      <c r="J45" s="3">
        <f t="shared" si="8"/>
        <v>1183.0999999999985</v>
      </c>
      <c r="K45" s="3">
        <f t="shared" si="9"/>
        <v>-479.15000000000146</v>
      </c>
    </row>
    <row r="46" spans="1:11" x14ac:dyDescent="0.45">
      <c r="A46" s="10">
        <v>45523</v>
      </c>
      <c r="B46" s="8">
        <v>50368.35</v>
      </c>
      <c r="C46" s="8">
        <v>50683.55</v>
      </c>
      <c r="D46" s="8">
        <v>50728.25</v>
      </c>
      <c r="E46" s="8">
        <v>50283.55</v>
      </c>
      <c r="F46" s="3" t="s">
        <v>31</v>
      </c>
      <c r="G46" s="11">
        <v>-2.8999999999999998E-3</v>
      </c>
      <c r="H46" s="8">
        <f t="shared" si="6"/>
        <v>0</v>
      </c>
      <c r="I46" s="8">
        <f t="shared" si="7"/>
        <v>1331.6500000000015</v>
      </c>
      <c r="J46" s="3">
        <f t="shared" si="8"/>
        <v>1331.6500000000015</v>
      </c>
      <c r="K46" s="3">
        <f t="shared" si="9"/>
        <v>-330.59999999999854</v>
      </c>
    </row>
    <row r="47" spans="1:11" x14ac:dyDescent="0.45">
      <c r="A47" s="10">
        <v>45524</v>
      </c>
      <c r="B47" s="8">
        <v>50803.15</v>
      </c>
      <c r="C47" s="8">
        <v>50417.25</v>
      </c>
      <c r="D47" s="8">
        <v>51025.599999999999</v>
      </c>
      <c r="E47" s="8">
        <v>50398.6</v>
      </c>
      <c r="F47" s="3" t="s">
        <v>32</v>
      </c>
      <c r="G47" s="11">
        <v>8.6E-3</v>
      </c>
      <c r="H47" s="8">
        <f t="shared" si="6"/>
        <v>0</v>
      </c>
      <c r="I47" s="8">
        <f t="shared" si="7"/>
        <v>896.84999999999854</v>
      </c>
      <c r="J47" s="3">
        <f t="shared" si="8"/>
        <v>896.84999999999854</v>
      </c>
      <c r="K47" s="3">
        <f t="shared" si="9"/>
        <v>-765.40000000000146</v>
      </c>
    </row>
    <row r="48" spans="1:11" x14ac:dyDescent="0.45">
      <c r="A48" s="12">
        <v>45525</v>
      </c>
      <c r="B48" s="9">
        <v>50685.55</v>
      </c>
      <c r="C48" s="9">
        <v>50666.65</v>
      </c>
      <c r="D48" s="9">
        <v>50772.45</v>
      </c>
      <c r="E48" s="9">
        <v>50333.35</v>
      </c>
      <c r="F48" s="6" t="s">
        <v>33</v>
      </c>
      <c r="G48" s="13">
        <v>-2.3E-3</v>
      </c>
      <c r="H48" s="9">
        <f t="shared" si="6"/>
        <v>0</v>
      </c>
      <c r="I48" s="9">
        <f t="shared" si="7"/>
        <v>1014.4499999999971</v>
      </c>
      <c r="J48" s="6">
        <f t="shared" si="8"/>
        <v>1014.4499999999971</v>
      </c>
      <c r="K48" s="6">
        <f t="shared" si="9"/>
        <v>-647.80000000000291</v>
      </c>
    </row>
    <row r="49" spans="1:11" x14ac:dyDescent="0.45">
      <c r="A49" s="10">
        <v>45526</v>
      </c>
      <c r="B49" s="8">
        <v>50985.7</v>
      </c>
      <c r="C49" s="8">
        <v>50894.8</v>
      </c>
      <c r="D49" s="8">
        <v>51080</v>
      </c>
      <c r="E49" s="8">
        <v>50794.45</v>
      </c>
      <c r="F49" s="3" t="s">
        <v>34</v>
      </c>
      <c r="G49" s="11">
        <v>5.8999999999999999E-3</v>
      </c>
      <c r="H49" s="8">
        <f t="shared" si="6"/>
        <v>0</v>
      </c>
      <c r="I49" s="8">
        <f t="shared" si="7"/>
        <v>714.30000000000291</v>
      </c>
      <c r="J49" s="3">
        <f t="shared" si="8"/>
        <v>714.30000000000291</v>
      </c>
      <c r="K49" s="3">
        <f t="shared" si="9"/>
        <v>-947.94999999999709</v>
      </c>
    </row>
    <row r="50" spans="1:11" x14ac:dyDescent="0.45">
      <c r="A50" s="10">
        <v>45527</v>
      </c>
      <c r="B50" s="8">
        <v>50933.45</v>
      </c>
      <c r="C50" s="8">
        <v>51040.05</v>
      </c>
      <c r="D50" s="8">
        <v>51117.85</v>
      </c>
      <c r="E50" s="8">
        <v>50856.7</v>
      </c>
      <c r="F50" s="3" t="s">
        <v>35</v>
      </c>
      <c r="G50" s="11">
        <v>-1E-3</v>
      </c>
      <c r="H50" s="8">
        <f t="shared" si="6"/>
        <v>0</v>
      </c>
      <c r="I50" s="8">
        <f t="shared" si="7"/>
        <v>766.55000000000291</v>
      </c>
      <c r="J50" s="3">
        <f t="shared" si="8"/>
        <v>766.55000000000291</v>
      </c>
      <c r="K50" s="3">
        <f t="shared" si="9"/>
        <v>-895.69999999999709</v>
      </c>
    </row>
    <row r="51" spans="1:11" x14ac:dyDescent="0.45">
      <c r="A51" s="10">
        <v>45530</v>
      </c>
      <c r="B51" s="8">
        <v>51148.1</v>
      </c>
      <c r="C51" s="8">
        <v>51100.65</v>
      </c>
      <c r="D51" s="8">
        <v>51317.85</v>
      </c>
      <c r="E51" s="8">
        <v>51061.55</v>
      </c>
      <c r="F51" s="3" t="s">
        <v>36</v>
      </c>
      <c r="G51" s="11">
        <v>4.1999999999999997E-3</v>
      </c>
      <c r="H51" s="8">
        <f t="shared" si="6"/>
        <v>0</v>
      </c>
      <c r="I51" s="8">
        <f t="shared" si="7"/>
        <v>551.90000000000146</v>
      </c>
      <c r="J51" s="3">
        <f t="shared" si="8"/>
        <v>551.90000000000146</v>
      </c>
      <c r="K51" s="3">
        <f t="shared" si="9"/>
        <v>-1110.3499999999985</v>
      </c>
    </row>
    <row r="52" spans="1:11" x14ac:dyDescent="0.45">
      <c r="A52" s="10">
        <v>45531</v>
      </c>
      <c r="B52" s="8">
        <v>51278.75</v>
      </c>
      <c r="C52" s="8">
        <v>51214.05</v>
      </c>
      <c r="D52" s="8">
        <v>51404.7</v>
      </c>
      <c r="E52" s="8">
        <v>50938.1</v>
      </c>
      <c r="F52" s="3" t="s">
        <v>37</v>
      </c>
      <c r="G52" s="11">
        <v>2.5999999999999999E-3</v>
      </c>
      <c r="H52" s="8">
        <f t="shared" si="6"/>
        <v>0</v>
      </c>
      <c r="I52" s="8">
        <f t="shared" si="7"/>
        <v>421.25</v>
      </c>
      <c r="J52" s="3">
        <f t="shared" si="8"/>
        <v>421.25</v>
      </c>
      <c r="K52" s="3">
        <f t="shared" si="9"/>
        <v>-1241</v>
      </c>
    </row>
    <row r="53" spans="1:11" x14ac:dyDescent="0.45">
      <c r="A53" s="10">
        <v>45532</v>
      </c>
      <c r="B53" s="8">
        <v>51143.85</v>
      </c>
      <c r="C53" s="8">
        <v>51208.95</v>
      </c>
      <c r="D53" s="8">
        <v>51260.75</v>
      </c>
      <c r="E53" s="8">
        <v>51033.7</v>
      </c>
      <c r="F53" s="3" t="s">
        <v>38</v>
      </c>
      <c r="G53" s="11">
        <v>-2.5999999999999999E-3</v>
      </c>
      <c r="H53" s="8">
        <f t="shared" si="6"/>
        <v>0</v>
      </c>
      <c r="I53" s="8">
        <f t="shared" si="7"/>
        <v>556.15000000000146</v>
      </c>
      <c r="J53" s="3">
        <f t="shared" si="8"/>
        <v>556.15000000000146</v>
      </c>
      <c r="K53" s="3">
        <f t="shared" si="9"/>
        <v>-1106.0999999999985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915B-F84B-4C09-9A46-6EEE6C53BA41}">
  <dimension ref="A1:K53"/>
  <sheetViews>
    <sheetView topLeftCell="A12" zoomScale="82" workbookViewId="0">
      <selection activeCell="I35" sqref="I35"/>
    </sheetView>
  </sheetViews>
  <sheetFormatPr defaultColWidth="8.796875" defaultRowHeight="14.25" x14ac:dyDescent="0.45"/>
  <cols>
    <col min="1" max="1" width="15.06640625" bestFit="1" customWidth="1"/>
    <col min="2" max="2" width="14.19921875" customWidth="1"/>
    <col min="3" max="3" width="15.19921875" customWidth="1"/>
    <col min="4" max="4" width="12.265625" customWidth="1"/>
    <col min="5" max="5" width="15.796875" customWidth="1"/>
    <col min="6" max="6" width="9.1328125" bestFit="1" customWidth="1"/>
  </cols>
  <sheetData>
    <row r="1" spans="1:6" x14ac:dyDescent="0.45">
      <c r="A1" s="1" t="s">
        <v>12</v>
      </c>
      <c r="B1" s="1" t="s">
        <v>0</v>
      </c>
      <c r="C1" s="1" t="s">
        <v>1</v>
      </c>
      <c r="D1" s="1"/>
      <c r="E1" s="1" t="s">
        <v>13</v>
      </c>
      <c r="F1">
        <v>51564</v>
      </c>
    </row>
    <row r="2" spans="1:6" x14ac:dyDescent="0.45">
      <c r="A2" s="1" t="s">
        <v>2</v>
      </c>
      <c r="B2" s="2">
        <v>45505</v>
      </c>
      <c r="C2" s="2">
        <v>45505</v>
      </c>
      <c r="D2" s="2"/>
      <c r="E2" s="1" t="s">
        <v>14</v>
      </c>
      <c r="F2">
        <v>15</v>
      </c>
    </row>
    <row r="3" spans="1:6" x14ac:dyDescent="0.45">
      <c r="A3">
        <v>51300</v>
      </c>
      <c r="B3" s="5">
        <v>1060.75</v>
      </c>
      <c r="C3">
        <v>610.35</v>
      </c>
      <c r="E3" s="1" t="s">
        <v>15</v>
      </c>
      <c r="F3" s="2">
        <v>45532</v>
      </c>
    </row>
    <row r="4" spans="1:6" x14ac:dyDescent="0.45">
      <c r="A4" s="1">
        <v>51500</v>
      </c>
      <c r="B4" s="17">
        <v>940.7</v>
      </c>
      <c r="C4" s="4">
        <v>691.1</v>
      </c>
      <c r="D4" s="4"/>
    </row>
    <row r="5" spans="1:6" x14ac:dyDescent="0.45">
      <c r="A5" s="1">
        <v>51700</v>
      </c>
      <c r="B5" s="1">
        <v>896.85</v>
      </c>
      <c r="C5" s="1">
        <v>765.4</v>
      </c>
    </row>
    <row r="6" spans="1:6" x14ac:dyDescent="0.45">
      <c r="B6" t="s">
        <v>2</v>
      </c>
      <c r="C6" t="s">
        <v>3</v>
      </c>
    </row>
    <row r="7" spans="1:6" x14ac:dyDescent="0.45">
      <c r="A7" t="s">
        <v>51</v>
      </c>
      <c r="B7">
        <f>A5</f>
        <v>51700</v>
      </c>
      <c r="C7">
        <f>B5</f>
        <v>896.85</v>
      </c>
    </row>
    <row r="8" spans="1:6" x14ac:dyDescent="0.45">
      <c r="A8" t="s">
        <v>52</v>
      </c>
      <c r="B8">
        <f>A5</f>
        <v>51700</v>
      </c>
      <c r="C8">
        <f>C5</f>
        <v>765.4</v>
      </c>
    </row>
    <row r="9" spans="1:6" x14ac:dyDescent="0.45">
      <c r="A9" t="s">
        <v>55</v>
      </c>
      <c r="C9">
        <f>SUM(C7:C8)</f>
        <v>1662.25</v>
      </c>
      <c r="E9" t="s">
        <v>56</v>
      </c>
    </row>
    <row r="10" spans="1:6" x14ac:dyDescent="0.45">
      <c r="E10">
        <f>B8-C9</f>
        <v>50037.75</v>
      </c>
      <c r="F10">
        <f>B8+C9</f>
        <v>53362.25</v>
      </c>
    </row>
    <row r="11" spans="1:6" x14ac:dyDescent="0.45">
      <c r="A11" s="6" t="s">
        <v>6</v>
      </c>
      <c r="B11" s="6" t="s">
        <v>53</v>
      </c>
      <c r="C11" s="6" t="s">
        <v>54</v>
      </c>
      <c r="D11" s="6" t="s">
        <v>7</v>
      </c>
      <c r="E11" s="6" t="s">
        <v>8</v>
      </c>
    </row>
    <row r="12" spans="1:6" x14ac:dyDescent="0.45">
      <c r="A12" s="3">
        <v>49500</v>
      </c>
      <c r="B12" s="3">
        <f>MIN($B$7-A12,0)</f>
        <v>0</v>
      </c>
      <c r="C12" s="3">
        <f>MIN(A12-$B$8,0)</f>
        <v>-2200</v>
      </c>
      <c r="D12" s="3">
        <f t="shared" ref="D12:D32" si="0">C12+B12</f>
        <v>-2200</v>
      </c>
      <c r="E12" s="3">
        <f t="shared" ref="E12:E32" si="1">D12+$C$9</f>
        <v>-537.75</v>
      </c>
    </row>
    <row r="13" spans="1:6" x14ac:dyDescent="0.45">
      <c r="A13" s="3">
        <v>49700</v>
      </c>
      <c r="B13" s="3">
        <f t="shared" ref="B13:B32" si="2">MIN($B$7-A13,0)</f>
        <v>0</v>
      </c>
      <c r="C13" s="3">
        <f t="shared" ref="C13:C32" si="3">MIN(A13-$B$8,0)</f>
        <v>-2000</v>
      </c>
      <c r="D13" s="3">
        <f t="shared" si="0"/>
        <v>-2000</v>
      </c>
      <c r="E13" s="3">
        <f t="shared" si="1"/>
        <v>-337.75</v>
      </c>
    </row>
    <row r="14" spans="1:6" x14ac:dyDescent="0.45">
      <c r="A14" s="3">
        <v>49900</v>
      </c>
      <c r="B14" s="3">
        <f t="shared" si="2"/>
        <v>0</v>
      </c>
      <c r="C14" s="3">
        <f t="shared" si="3"/>
        <v>-1800</v>
      </c>
      <c r="D14" s="3">
        <f t="shared" si="0"/>
        <v>-1800</v>
      </c>
      <c r="E14" s="3">
        <f t="shared" si="1"/>
        <v>-137.75</v>
      </c>
    </row>
    <row r="15" spans="1:6" x14ac:dyDescent="0.45">
      <c r="A15" s="3">
        <v>50100</v>
      </c>
      <c r="B15" s="3">
        <f t="shared" si="2"/>
        <v>0</v>
      </c>
      <c r="C15" s="3">
        <f t="shared" si="3"/>
        <v>-1600</v>
      </c>
      <c r="D15" s="3">
        <f t="shared" si="0"/>
        <v>-1600</v>
      </c>
      <c r="E15" s="3">
        <f t="shared" si="1"/>
        <v>62.25</v>
      </c>
    </row>
    <row r="16" spans="1:6" x14ac:dyDescent="0.45">
      <c r="A16" s="3">
        <v>50300</v>
      </c>
      <c r="B16" s="3">
        <f t="shared" si="2"/>
        <v>0</v>
      </c>
      <c r="C16" s="3">
        <f t="shared" si="3"/>
        <v>-1400</v>
      </c>
      <c r="D16" s="3">
        <f t="shared" si="0"/>
        <v>-1400</v>
      </c>
      <c r="E16" s="3">
        <f t="shared" si="1"/>
        <v>262.25</v>
      </c>
    </row>
    <row r="17" spans="1:5" x14ac:dyDescent="0.45">
      <c r="A17" s="3">
        <v>50500</v>
      </c>
      <c r="B17" s="3">
        <f t="shared" si="2"/>
        <v>0</v>
      </c>
      <c r="C17" s="3">
        <f t="shared" si="3"/>
        <v>-1200</v>
      </c>
      <c r="D17" s="3">
        <f t="shared" si="0"/>
        <v>-1200</v>
      </c>
      <c r="E17" s="3">
        <f t="shared" si="1"/>
        <v>462.25</v>
      </c>
    </row>
    <row r="18" spans="1:5" x14ac:dyDescent="0.45">
      <c r="A18" s="3">
        <v>50700</v>
      </c>
      <c r="B18" s="3">
        <f t="shared" si="2"/>
        <v>0</v>
      </c>
      <c r="C18" s="3">
        <f t="shared" si="3"/>
        <v>-1000</v>
      </c>
      <c r="D18" s="3">
        <f t="shared" si="0"/>
        <v>-1000</v>
      </c>
      <c r="E18" s="3">
        <f t="shared" si="1"/>
        <v>662.25</v>
      </c>
    </row>
    <row r="19" spans="1:5" x14ac:dyDescent="0.45">
      <c r="A19" s="3">
        <v>50900</v>
      </c>
      <c r="B19" s="3">
        <f t="shared" si="2"/>
        <v>0</v>
      </c>
      <c r="C19" s="3">
        <f t="shared" si="3"/>
        <v>-800</v>
      </c>
      <c r="D19" s="3">
        <f t="shared" si="0"/>
        <v>-800</v>
      </c>
      <c r="E19" s="3">
        <f t="shared" si="1"/>
        <v>862.25</v>
      </c>
    </row>
    <row r="20" spans="1:5" x14ac:dyDescent="0.45">
      <c r="A20" s="3">
        <v>51100</v>
      </c>
      <c r="B20" s="3">
        <f t="shared" si="2"/>
        <v>0</v>
      </c>
      <c r="C20" s="3">
        <f t="shared" si="3"/>
        <v>-600</v>
      </c>
      <c r="D20" s="3">
        <f t="shared" si="0"/>
        <v>-600</v>
      </c>
      <c r="E20" s="3">
        <f t="shared" si="1"/>
        <v>1062.25</v>
      </c>
    </row>
    <row r="21" spans="1:5" x14ac:dyDescent="0.45">
      <c r="A21" s="3">
        <v>51300</v>
      </c>
      <c r="B21" s="3">
        <f t="shared" si="2"/>
        <v>0</v>
      </c>
      <c r="C21" s="3">
        <f t="shared" si="3"/>
        <v>-400</v>
      </c>
      <c r="D21" s="3">
        <f t="shared" si="0"/>
        <v>-400</v>
      </c>
      <c r="E21" s="3">
        <f t="shared" si="1"/>
        <v>1262.25</v>
      </c>
    </row>
    <row r="22" spans="1:5" x14ac:dyDescent="0.45">
      <c r="A22" s="3">
        <v>51500</v>
      </c>
      <c r="B22" s="3">
        <f t="shared" si="2"/>
        <v>0</v>
      </c>
      <c r="C22" s="3">
        <f t="shared" si="3"/>
        <v>-200</v>
      </c>
      <c r="D22" s="3">
        <f t="shared" si="0"/>
        <v>-200</v>
      </c>
      <c r="E22" s="3">
        <f t="shared" si="1"/>
        <v>1462.25</v>
      </c>
    </row>
    <row r="23" spans="1:5" x14ac:dyDescent="0.45">
      <c r="A23" s="3">
        <v>51700</v>
      </c>
      <c r="B23" s="3">
        <f t="shared" si="2"/>
        <v>0</v>
      </c>
      <c r="C23" s="3">
        <f t="shared" si="3"/>
        <v>0</v>
      </c>
      <c r="D23" s="3">
        <f t="shared" si="0"/>
        <v>0</v>
      </c>
      <c r="E23" s="3">
        <f t="shared" si="1"/>
        <v>1662.25</v>
      </c>
    </row>
    <row r="24" spans="1:5" x14ac:dyDescent="0.45">
      <c r="A24" s="3">
        <v>51900</v>
      </c>
      <c r="B24" s="3">
        <f t="shared" si="2"/>
        <v>-200</v>
      </c>
      <c r="C24" s="3">
        <f t="shared" si="3"/>
        <v>0</v>
      </c>
      <c r="D24" s="3">
        <f t="shared" si="0"/>
        <v>-200</v>
      </c>
      <c r="E24" s="3">
        <f t="shared" si="1"/>
        <v>1462.25</v>
      </c>
    </row>
    <row r="25" spans="1:5" x14ac:dyDescent="0.45">
      <c r="A25" s="3">
        <v>52100</v>
      </c>
      <c r="B25" s="3">
        <f t="shared" si="2"/>
        <v>-400</v>
      </c>
      <c r="C25" s="3">
        <f t="shared" si="3"/>
        <v>0</v>
      </c>
      <c r="D25" s="3">
        <f t="shared" si="0"/>
        <v>-400</v>
      </c>
      <c r="E25" s="3">
        <f t="shared" si="1"/>
        <v>1262.25</v>
      </c>
    </row>
    <row r="26" spans="1:5" x14ac:dyDescent="0.45">
      <c r="A26" s="3">
        <v>52300</v>
      </c>
      <c r="B26" s="3">
        <f t="shared" si="2"/>
        <v>-600</v>
      </c>
      <c r="C26" s="3">
        <f t="shared" si="3"/>
        <v>0</v>
      </c>
      <c r="D26" s="3">
        <f t="shared" si="0"/>
        <v>-600</v>
      </c>
      <c r="E26" s="3">
        <f t="shared" si="1"/>
        <v>1062.25</v>
      </c>
    </row>
    <row r="27" spans="1:5" x14ac:dyDescent="0.45">
      <c r="A27" s="3">
        <v>52500</v>
      </c>
      <c r="B27" s="3">
        <f t="shared" si="2"/>
        <v>-800</v>
      </c>
      <c r="C27" s="3">
        <f t="shared" si="3"/>
        <v>0</v>
      </c>
      <c r="D27" s="3">
        <f t="shared" si="0"/>
        <v>-800</v>
      </c>
      <c r="E27" s="3">
        <f t="shared" si="1"/>
        <v>862.25</v>
      </c>
    </row>
    <row r="28" spans="1:5" x14ac:dyDescent="0.45">
      <c r="A28" s="3">
        <v>52700</v>
      </c>
      <c r="B28" s="3">
        <f t="shared" si="2"/>
        <v>-1000</v>
      </c>
      <c r="C28" s="3">
        <f t="shared" si="3"/>
        <v>0</v>
      </c>
      <c r="D28" s="3">
        <f t="shared" si="0"/>
        <v>-1000</v>
      </c>
      <c r="E28" s="3">
        <f t="shared" si="1"/>
        <v>662.25</v>
      </c>
    </row>
    <row r="29" spans="1:5" x14ac:dyDescent="0.45">
      <c r="A29" s="3">
        <v>52900</v>
      </c>
      <c r="B29" s="3">
        <f t="shared" si="2"/>
        <v>-1200</v>
      </c>
      <c r="C29" s="3">
        <f t="shared" si="3"/>
        <v>0</v>
      </c>
      <c r="D29" s="3">
        <f t="shared" si="0"/>
        <v>-1200</v>
      </c>
      <c r="E29" s="3">
        <f t="shared" si="1"/>
        <v>462.25</v>
      </c>
    </row>
    <row r="30" spans="1:5" x14ac:dyDescent="0.45">
      <c r="A30" s="3">
        <v>53100</v>
      </c>
      <c r="B30" s="3">
        <f t="shared" si="2"/>
        <v>-1400</v>
      </c>
      <c r="C30" s="3">
        <f t="shared" si="3"/>
        <v>0</v>
      </c>
      <c r="D30" s="3">
        <f t="shared" si="0"/>
        <v>-1400</v>
      </c>
      <c r="E30" s="3">
        <f t="shared" si="1"/>
        <v>262.25</v>
      </c>
    </row>
    <row r="31" spans="1:5" x14ac:dyDescent="0.45">
      <c r="A31" s="3">
        <v>53300</v>
      </c>
      <c r="B31" s="3">
        <f t="shared" si="2"/>
        <v>-1600</v>
      </c>
      <c r="C31" s="3">
        <f t="shared" si="3"/>
        <v>0</v>
      </c>
      <c r="D31" s="3">
        <f t="shared" si="0"/>
        <v>-1600</v>
      </c>
      <c r="E31" s="3">
        <f t="shared" si="1"/>
        <v>62.25</v>
      </c>
    </row>
    <row r="32" spans="1:5" x14ac:dyDescent="0.45">
      <c r="A32" s="3">
        <v>53500</v>
      </c>
      <c r="B32" s="3">
        <f t="shared" si="2"/>
        <v>-1800</v>
      </c>
      <c r="C32" s="3">
        <f t="shared" si="3"/>
        <v>0</v>
      </c>
      <c r="D32" s="3">
        <f t="shared" si="0"/>
        <v>-1800</v>
      </c>
      <c r="E32" s="3">
        <f t="shared" si="1"/>
        <v>-137.75</v>
      </c>
    </row>
    <row r="34" spans="1:11" x14ac:dyDescent="0.45">
      <c r="A34" s="6" t="s">
        <v>18</v>
      </c>
      <c r="B34" s="6" t="s">
        <v>19</v>
      </c>
      <c r="C34" s="6" t="s">
        <v>39</v>
      </c>
      <c r="D34" s="6" t="s">
        <v>40</v>
      </c>
      <c r="E34" s="6" t="s">
        <v>41</v>
      </c>
      <c r="F34" s="6" t="s">
        <v>42</v>
      </c>
      <c r="G34" s="6" t="s">
        <v>43</v>
      </c>
      <c r="H34" s="6" t="s">
        <v>16</v>
      </c>
      <c r="I34" s="6" t="s">
        <v>17</v>
      </c>
      <c r="J34" s="6" t="s">
        <v>7</v>
      </c>
      <c r="K34" s="6" t="s">
        <v>8</v>
      </c>
    </row>
    <row r="35" spans="1:11" x14ac:dyDescent="0.45">
      <c r="A35" s="10">
        <v>45505</v>
      </c>
      <c r="B35" s="8">
        <v>51564</v>
      </c>
      <c r="C35" s="8">
        <v>51672.6</v>
      </c>
      <c r="D35" s="8">
        <v>51877.15</v>
      </c>
      <c r="E35" s="8">
        <v>51456.2</v>
      </c>
      <c r="F35" s="3" t="s">
        <v>20</v>
      </c>
      <c r="G35" s="11">
        <v>2.0000000000000001E-4</v>
      </c>
      <c r="H35" s="8">
        <f>MIN($B$7-B35,0)</f>
        <v>0</v>
      </c>
      <c r="I35" s="8">
        <f>MIN(B35-$B$8,0)</f>
        <v>-136</v>
      </c>
      <c r="J35" s="3">
        <f t="shared" ref="J35" si="4">I35+H35</f>
        <v>-136</v>
      </c>
      <c r="K35" s="3">
        <f t="shared" ref="K35" si="5">J35+$C$9</f>
        <v>1526.25</v>
      </c>
    </row>
    <row r="36" spans="1:11" x14ac:dyDescent="0.45">
      <c r="A36" s="10">
        <v>45506</v>
      </c>
      <c r="B36" s="8">
        <v>51350.15</v>
      </c>
      <c r="C36" s="8">
        <v>51172.25</v>
      </c>
      <c r="D36" s="8">
        <v>51608.7</v>
      </c>
      <c r="E36" s="8">
        <v>51087.85</v>
      </c>
      <c r="F36" s="3" t="s">
        <v>21</v>
      </c>
      <c r="G36" s="11">
        <v>-4.1000000000000003E-3</v>
      </c>
      <c r="H36" s="8">
        <f t="shared" ref="H36:H53" si="6">MIN($B$7-B36,0)</f>
        <v>0</v>
      </c>
      <c r="I36" s="8">
        <f t="shared" ref="I36:I53" si="7">MIN(B36-$B$8,0)</f>
        <v>-349.84999999999854</v>
      </c>
      <c r="J36" s="3">
        <f t="shared" ref="J35:J53" si="8">I36+H36</f>
        <v>-349.84999999999854</v>
      </c>
      <c r="K36" s="3">
        <f t="shared" ref="K35:K53" si="9">J36+$C$9</f>
        <v>1312.4000000000015</v>
      </c>
    </row>
    <row r="37" spans="1:11" x14ac:dyDescent="0.45">
      <c r="A37" s="10">
        <v>45509</v>
      </c>
      <c r="B37" s="8">
        <v>50092.1</v>
      </c>
      <c r="C37" s="8">
        <v>50586.25</v>
      </c>
      <c r="D37" s="8">
        <v>50747.55</v>
      </c>
      <c r="E37" s="8">
        <v>49719.1</v>
      </c>
      <c r="F37" s="3" t="s">
        <v>22</v>
      </c>
      <c r="G37" s="11">
        <v>-2.4500000000000001E-2</v>
      </c>
      <c r="H37" s="8">
        <f t="shared" si="6"/>
        <v>0</v>
      </c>
      <c r="I37" s="8">
        <f t="shared" si="7"/>
        <v>-1607.9000000000015</v>
      </c>
      <c r="J37" s="3">
        <f t="shared" si="8"/>
        <v>-1607.9000000000015</v>
      </c>
      <c r="K37" s="3">
        <f t="shared" si="9"/>
        <v>54.349999999998545</v>
      </c>
    </row>
    <row r="38" spans="1:11" x14ac:dyDescent="0.45">
      <c r="A38" s="10">
        <v>45510</v>
      </c>
      <c r="B38" s="8">
        <v>49748.3</v>
      </c>
      <c r="C38" s="8">
        <v>50436.9</v>
      </c>
      <c r="D38" s="8">
        <v>50688.800000000003</v>
      </c>
      <c r="E38" s="8">
        <v>49659.05</v>
      </c>
      <c r="F38" s="3" t="s">
        <v>23</v>
      </c>
      <c r="G38" s="11">
        <v>-6.8999999999999999E-3</v>
      </c>
      <c r="H38" s="8">
        <f t="shared" si="6"/>
        <v>0</v>
      </c>
      <c r="I38" s="8">
        <f t="shared" si="7"/>
        <v>-1951.6999999999971</v>
      </c>
      <c r="J38" s="3">
        <f t="shared" si="8"/>
        <v>-1951.6999999999971</v>
      </c>
      <c r="K38" s="3">
        <f t="shared" si="9"/>
        <v>-289.44999999999709</v>
      </c>
    </row>
    <row r="39" spans="1:11" x14ac:dyDescent="0.45">
      <c r="A39" s="10">
        <v>45511</v>
      </c>
      <c r="B39" s="8">
        <v>50119</v>
      </c>
      <c r="C39" s="8">
        <v>50286.2</v>
      </c>
      <c r="D39" s="8">
        <v>50292.45</v>
      </c>
      <c r="E39" s="8">
        <v>49782.2</v>
      </c>
      <c r="F39" s="3" t="s">
        <v>24</v>
      </c>
      <c r="G39" s="11">
        <v>7.4999999999999997E-3</v>
      </c>
      <c r="H39" s="8">
        <f t="shared" si="6"/>
        <v>0</v>
      </c>
      <c r="I39" s="8">
        <f t="shared" si="7"/>
        <v>-1581</v>
      </c>
      <c r="J39" s="3">
        <f t="shared" si="8"/>
        <v>-1581</v>
      </c>
      <c r="K39" s="3">
        <f t="shared" si="9"/>
        <v>81.25</v>
      </c>
    </row>
    <row r="40" spans="1:11" x14ac:dyDescent="0.45">
      <c r="A40" s="10">
        <v>45512</v>
      </c>
      <c r="B40" s="8">
        <v>50156.7</v>
      </c>
      <c r="C40" s="8">
        <v>50051.9</v>
      </c>
      <c r="D40" s="8">
        <v>50440.75</v>
      </c>
      <c r="E40" s="8">
        <v>49829.599999999999</v>
      </c>
      <c r="F40" s="3" t="s">
        <v>25</v>
      </c>
      <c r="G40" s="11">
        <v>8.0000000000000004E-4</v>
      </c>
      <c r="H40" s="8">
        <f t="shared" si="6"/>
        <v>0</v>
      </c>
      <c r="I40" s="8">
        <f t="shared" si="7"/>
        <v>-1543.3000000000029</v>
      </c>
      <c r="J40" s="3">
        <f t="shared" si="8"/>
        <v>-1543.3000000000029</v>
      </c>
      <c r="K40" s="3">
        <f t="shared" si="9"/>
        <v>118.94999999999709</v>
      </c>
    </row>
    <row r="41" spans="1:11" x14ac:dyDescent="0.45">
      <c r="A41" s="10">
        <v>45513</v>
      </c>
      <c r="B41" s="8">
        <v>50484.5</v>
      </c>
      <c r="C41" s="8">
        <v>50612.1</v>
      </c>
      <c r="D41" s="8">
        <v>50707.75</v>
      </c>
      <c r="E41" s="8">
        <v>50386.45</v>
      </c>
      <c r="F41" s="3" t="s">
        <v>26</v>
      </c>
      <c r="G41" s="11">
        <v>6.4999999999999997E-3</v>
      </c>
      <c r="H41" s="8">
        <f t="shared" si="6"/>
        <v>0</v>
      </c>
      <c r="I41" s="8">
        <f t="shared" si="7"/>
        <v>-1215.5</v>
      </c>
      <c r="J41" s="3">
        <f t="shared" si="8"/>
        <v>-1215.5</v>
      </c>
      <c r="K41" s="3">
        <f t="shared" si="9"/>
        <v>446.75</v>
      </c>
    </row>
    <row r="42" spans="1:11" x14ac:dyDescent="0.45">
      <c r="A42" s="10">
        <v>45516</v>
      </c>
      <c r="B42" s="8">
        <v>50577.95</v>
      </c>
      <c r="C42" s="8">
        <v>50412.6</v>
      </c>
      <c r="D42" s="8">
        <v>50830.7</v>
      </c>
      <c r="E42" s="8">
        <v>50149.25</v>
      </c>
      <c r="F42" s="3" t="s">
        <v>27</v>
      </c>
      <c r="G42" s="11">
        <v>1.9E-3</v>
      </c>
      <c r="H42" s="8">
        <f t="shared" si="6"/>
        <v>0</v>
      </c>
      <c r="I42" s="8">
        <f t="shared" si="7"/>
        <v>-1122.0500000000029</v>
      </c>
      <c r="J42" s="3">
        <f t="shared" si="8"/>
        <v>-1122.0500000000029</v>
      </c>
      <c r="K42" s="3">
        <f t="shared" si="9"/>
        <v>540.19999999999709</v>
      </c>
    </row>
    <row r="43" spans="1:11" x14ac:dyDescent="0.45">
      <c r="A43" s="10">
        <v>45517</v>
      </c>
      <c r="B43" s="8">
        <v>49831.85</v>
      </c>
      <c r="C43" s="8">
        <v>50395.35</v>
      </c>
      <c r="D43" s="8">
        <v>50559.25</v>
      </c>
      <c r="E43" s="8">
        <v>49785.1</v>
      </c>
      <c r="F43" s="3" t="s">
        <v>28</v>
      </c>
      <c r="G43" s="11">
        <v>-1.4800000000000001E-2</v>
      </c>
      <c r="H43" s="8">
        <f t="shared" si="6"/>
        <v>0</v>
      </c>
      <c r="I43" s="8">
        <f t="shared" si="7"/>
        <v>-1868.1500000000015</v>
      </c>
      <c r="J43" s="3">
        <f t="shared" si="8"/>
        <v>-1868.1500000000015</v>
      </c>
      <c r="K43" s="3">
        <f t="shared" si="9"/>
        <v>-205.90000000000146</v>
      </c>
    </row>
    <row r="44" spans="1:11" x14ac:dyDescent="0.45">
      <c r="A44" s="10">
        <v>45518</v>
      </c>
      <c r="B44" s="8">
        <v>49727.3</v>
      </c>
      <c r="C44" s="8">
        <v>49887.15</v>
      </c>
      <c r="D44" s="8">
        <v>49959.25</v>
      </c>
      <c r="E44" s="8">
        <v>49654.65</v>
      </c>
      <c r="F44" s="3" t="s">
        <v>29</v>
      </c>
      <c r="G44" s="11">
        <v>-2.0999999999999999E-3</v>
      </c>
      <c r="H44" s="8">
        <f t="shared" si="6"/>
        <v>0</v>
      </c>
      <c r="I44" s="8">
        <f t="shared" si="7"/>
        <v>-1972.6999999999971</v>
      </c>
      <c r="J44" s="3">
        <f t="shared" si="8"/>
        <v>-1972.6999999999971</v>
      </c>
      <c r="K44" s="3">
        <f t="shared" si="9"/>
        <v>-310.44999999999709</v>
      </c>
    </row>
    <row r="45" spans="1:11" x14ac:dyDescent="0.45">
      <c r="A45" s="10">
        <v>45520</v>
      </c>
      <c r="B45" s="8">
        <v>50516.9</v>
      </c>
      <c r="C45" s="8">
        <v>50133</v>
      </c>
      <c r="D45" s="8">
        <v>50603.4</v>
      </c>
      <c r="E45" s="8">
        <v>49806.05</v>
      </c>
      <c r="F45" s="3" t="s">
        <v>30</v>
      </c>
      <c r="G45" s="11">
        <v>1.5900000000000001E-2</v>
      </c>
      <c r="H45" s="8">
        <f t="shared" si="6"/>
        <v>0</v>
      </c>
      <c r="I45" s="8">
        <f t="shared" si="7"/>
        <v>-1183.0999999999985</v>
      </c>
      <c r="J45" s="3">
        <f t="shared" si="8"/>
        <v>-1183.0999999999985</v>
      </c>
      <c r="K45" s="3">
        <f t="shared" si="9"/>
        <v>479.15000000000146</v>
      </c>
    </row>
    <row r="46" spans="1:11" x14ac:dyDescent="0.45">
      <c r="A46" s="10">
        <v>45523</v>
      </c>
      <c r="B46" s="8">
        <v>50368.35</v>
      </c>
      <c r="C46" s="8">
        <v>50683.55</v>
      </c>
      <c r="D46" s="8">
        <v>50728.25</v>
      </c>
      <c r="E46" s="8">
        <v>50283.55</v>
      </c>
      <c r="F46" s="3" t="s">
        <v>31</v>
      </c>
      <c r="G46" s="11">
        <v>-2.8999999999999998E-3</v>
      </c>
      <c r="H46" s="8">
        <f t="shared" si="6"/>
        <v>0</v>
      </c>
      <c r="I46" s="8">
        <f t="shared" si="7"/>
        <v>-1331.6500000000015</v>
      </c>
      <c r="J46" s="3">
        <f t="shared" si="8"/>
        <v>-1331.6500000000015</v>
      </c>
      <c r="K46" s="3">
        <f t="shared" si="9"/>
        <v>330.59999999999854</v>
      </c>
    </row>
    <row r="47" spans="1:11" x14ac:dyDescent="0.45">
      <c r="A47" s="10">
        <v>45524</v>
      </c>
      <c r="B47" s="8">
        <v>50803.15</v>
      </c>
      <c r="C47" s="8">
        <v>50417.25</v>
      </c>
      <c r="D47" s="8">
        <v>51025.599999999999</v>
      </c>
      <c r="E47" s="8">
        <v>50398.6</v>
      </c>
      <c r="F47" s="3" t="s">
        <v>32</v>
      </c>
      <c r="G47" s="11">
        <v>8.6E-3</v>
      </c>
      <c r="H47" s="8">
        <f t="shared" si="6"/>
        <v>0</v>
      </c>
      <c r="I47" s="8">
        <f t="shared" si="7"/>
        <v>-896.84999999999854</v>
      </c>
      <c r="J47" s="3">
        <f t="shared" si="8"/>
        <v>-896.84999999999854</v>
      </c>
      <c r="K47" s="3">
        <f t="shared" si="9"/>
        <v>765.40000000000146</v>
      </c>
    </row>
    <row r="48" spans="1:11" x14ac:dyDescent="0.45">
      <c r="A48" s="12">
        <v>45525</v>
      </c>
      <c r="B48" s="9">
        <v>50685.55</v>
      </c>
      <c r="C48" s="9">
        <v>50666.65</v>
      </c>
      <c r="D48" s="9">
        <v>50772.45</v>
      </c>
      <c r="E48" s="9">
        <v>50333.35</v>
      </c>
      <c r="F48" s="6" t="s">
        <v>33</v>
      </c>
      <c r="G48" s="13">
        <v>-2.3E-3</v>
      </c>
      <c r="H48" s="9">
        <f t="shared" si="6"/>
        <v>0</v>
      </c>
      <c r="I48" s="9">
        <f t="shared" si="7"/>
        <v>-1014.4499999999971</v>
      </c>
      <c r="J48" s="6">
        <f t="shared" si="8"/>
        <v>-1014.4499999999971</v>
      </c>
      <c r="K48" s="6">
        <f t="shared" si="9"/>
        <v>647.80000000000291</v>
      </c>
    </row>
    <row r="49" spans="1:11" x14ac:dyDescent="0.45">
      <c r="A49" s="10">
        <v>45526</v>
      </c>
      <c r="B49" s="8">
        <v>50985.7</v>
      </c>
      <c r="C49" s="8">
        <v>50894.8</v>
      </c>
      <c r="D49" s="8">
        <v>51080</v>
      </c>
      <c r="E49" s="8">
        <v>50794.45</v>
      </c>
      <c r="F49" s="3" t="s">
        <v>34</v>
      </c>
      <c r="G49" s="11">
        <v>5.8999999999999999E-3</v>
      </c>
      <c r="H49" s="8">
        <f t="shared" si="6"/>
        <v>0</v>
      </c>
      <c r="I49" s="8">
        <f t="shared" si="7"/>
        <v>-714.30000000000291</v>
      </c>
      <c r="J49" s="3">
        <f t="shared" si="8"/>
        <v>-714.30000000000291</v>
      </c>
      <c r="K49" s="3">
        <f t="shared" si="9"/>
        <v>947.94999999999709</v>
      </c>
    </row>
    <row r="50" spans="1:11" x14ac:dyDescent="0.45">
      <c r="A50" s="10">
        <v>45527</v>
      </c>
      <c r="B50" s="8">
        <v>50933.45</v>
      </c>
      <c r="C50" s="8">
        <v>51040.05</v>
      </c>
      <c r="D50" s="8">
        <v>51117.85</v>
      </c>
      <c r="E50" s="8">
        <v>50856.7</v>
      </c>
      <c r="F50" s="3" t="s">
        <v>35</v>
      </c>
      <c r="G50" s="11">
        <v>-1E-3</v>
      </c>
      <c r="H50" s="8">
        <f t="shared" si="6"/>
        <v>0</v>
      </c>
      <c r="I50" s="8">
        <f t="shared" si="7"/>
        <v>-766.55000000000291</v>
      </c>
      <c r="J50" s="3">
        <f t="shared" si="8"/>
        <v>-766.55000000000291</v>
      </c>
      <c r="K50" s="3">
        <f t="shared" si="9"/>
        <v>895.69999999999709</v>
      </c>
    </row>
    <row r="51" spans="1:11" x14ac:dyDescent="0.45">
      <c r="A51" s="10">
        <v>45530</v>
      </c>
      <c r="B51" s="8">
        <v>51148.1</v>
      </c>
      <c r="C51" s="8">
        <v>51100.65</v>
      </c>
      <c r="D51" s="8">
        <v>51317.85</v>
      </c>
      <c r="E51" s="8">
        <v>51061.55</v>
      </c>
      <c r="F51" s="3" t="s">
        <v>36</v>
      </c>
      <c r="G51" s="11">
        <v>4.1999999999999997E-3</v>
      </c>
      <c r="H51" s="8">
        <f t="shared" si="6"/>
        <v>0</v>
      </c>
      <c r="I51" s="8">
        <f t="shared" si="7"/>
        <v>-551.90000000000146</v>
      </c>
      <c r="J51" s="3">
        <f t="shared" si="8"/>
        <v>-551.90000000000146</v>
      </c>
      <c r="K51" s="3">
        <f t="shared" si="9"/>
        <v>1110.3499999999985</v>
      </c>
    </row>
    <row r="52" spans="1:11" x14ac:dyDescent="0.45">
      <c r="A52" s="10">
        <v>45531</v>
      </c>
      <c r="B52" s="8">
        <v>51278.75</v>
      </c>
      <c r="C52" s="8">
        <v>51214.05</v>
      </c>
      <c r="D52" s="8">
        <v>51404.7</v>
      </c>
      <c r="E52" s="8">
        <v>50938.1</v>
      </c>
      <c r="F52" s="3" t="s">
        <v>37</v>
      </c>
      <c r="G52" s="11">
        <v>2.5999999999999999E-3</v>
      </c>
      <c r="H52" s="8">
        <f t="shared" si="6"/>
        <v>0</v>
      </c>
      <c r="I52" s="8">
        <f t="shared" si="7"/>
        <v>-421.25</v>
      </c>
      <c r="J52" s="3">
        <f t="shared" si="8"/>
        <v>-421.25</v>
      </c>
      <c r="K52" s="3">
        <f t="shared" si="9"/>
        <v>1241</v>
      </c>
    </row>
    <row r="53" spans="1:11" x14ac:dyDescent="0.45">
      <c r="A53" s="10">
        <v>45532</v>
      </c>
      <c r="B53" s="8">
        <v>51143.85</v>
      </c>
      <c r="C53" s="8">
        <v>51208.95</v>
      </c>
      <c r="D53" s="8">
        <v>51260.75</v>
      </c>
      <c r="E53" s="8">
        <v>51033.7</v>
      </c>
      <c r="F53" s="3" t="s">
        <v>38</v>
      </c>
      <c r="G53" s="11">
        <v>-2.5999999999999999E-3</v>
      </c>
      <c r="H53" s="8">
        <f t="shared" si="6"/>
        <v>0</v>
      </c>
      <c r="I53" s="8">
        <f t="shared" si="7"/>
        <v>-556.15000000000146</v>
      </c>
      <c r="J53" s="3">
        <f t="shared" si="8"/>
        <v>-556.15000000000146</v>
      </c>
      <c r="K53" s="3">
        <f t="shared" si="9"/>
        <v>1106.0999999999985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2CCE-03E1-4909-9BC5-9F697935410D}">
  <dimension ref="A1:K53"/>
  <sheetViews>
    <sheetView topLeftCell="A22" workbookViewId="0">
      <selection activeCell="K35" sqref="K35"/>
    </sheetView>
  </sheetViews>
  <sheetFormatPr defaultColWidth="8.796875" defaultRowHeight="14.25" x14ac:dyDescent="0.45"/>
  <cols>
    <col min="1" max="1" width="15.06640625" bestFit="1" customWidth="1"/>
    <col min="2" max="2" width="14.19921875" customWidth="1"/>
    <col min="3" max="3" width="15.19921875" customWidth="1"/>
    <col min="4" max="4" width="12.265625" customWidth="1"/>
    <col min="5" max="5" width="15.796875" customWidth="1"/>
    <col min="6" max="6" width="9.1328125" bestFit="1" customWidth="1"/>
  </cols>
  <sheetData>
    <row r="1" spans="1:6" x14ac:dyDescent="0.45">
      <c r="A1" s="1" t="s">
        <v>12</v>
      </c>
      <c r="B1" s="1" t="s">
        <v>0</v>
      </c>
      <c r="C1" s="1" t="s">
        <v>1</v>
      </c>
      <c r="D1" s="1"/>
      <c r="E1" s="1" t="s">
        <v>13</v>
      </c>
      <c r="F1">
        <v>51564</v>
      </c>
    </row>
    <row r="2" spans="1:6" x14ac:dyDescent="0.45">
      <c r="A2" s="1" t="s">
        <v>2</v>
      </c>
      <c r="B2" s="2">
        <v>45505</v>
      </c>
      <c r="C2" s="2">
        <v>45505</v>
      </c>
      <c r="D2" s="2"/>
      <c r="E2" s="1" t="s">
        <v>14</v>
      </c>
      <c r="F2">
        <v>15</v>
      </c>
    </row>
    <row r="3" spans="1:6" x14ac:dyDescent="0.45">
      <c r="A3">
        <v>51300</v>
      </c>
      <c r="B3" s="5">
        <v>1060.75</v>
      </c>
      <c r="C3">
        <v>610.35</v>
      </c>
      <c r="E3" s="1" t="s">
        <v>15</v>
      </c>
      <c r="F3" s="2">
        <v>45532</v>
      </c>
    </row>
    <row r="4" spans="1:6" x14ac:dyDescent="0.45">
      <c r="A4" s="1">
        <v>51500</v>
      </c>
      <c r="B4" s="17">
        <v>940.7</v>
      </c>
      <c r="C4" s="19">
        <v>691.1</v>
      </c>
      <c r="D4" s="4"/>
    </row>
    <row r="5" spans="1:6" x14ac:dyDescent="0.45">
      <c r="A5" s="1">
        <v>51700</v>
      </c>
      <c r="B5" s="1">
        <v>896.85</v>
      </c>
      <c r="C5" s="17">
        <v>765.4</v>
      </c>
    </row>
    <row r="6" spans="1:6" x14ac:dyDescent="0.45">
      <c r="B6" t="s">
        <v>2</v>
      </c>
      <c r="C6" t="s">
        <v>3</v>
      </c>
    </row>
    <row r="7" spans="1:6" x14ac:dyDescent="0.45">
      <c r="A7" t="s">
        <v>9</v>
      </c>
      <c r="B7">
        <f>A5</f>
        <v>51700</v>
      </c>
      <c r="C7">
        <f>-B5</f>
        <v>-896.85</v>
      </c>
    </row>
    <row r="8" spans="1:6" x14ac:dyDescent="0.45">
      <c r="A8" t="s">
        <v>10</v>
      </c>
      <c r="B8">
        <f>A4</f>
        <v>51500</v>
      </c>
      <c r="C8" s="4">
        <f>-C4</f>
        <v>-691.1</v>
      </c>
    </row>
    <row r="9" spans="1:6" x14ac:dyDescent="0.45">
      <c r="A9" t="s">
        <v>11</v>
      </c>
      <c r="C9">
        <f>SUM(C7:C8)</f>
        <v>-1587.95</v>
      </c>
      <c r="E9" t="s">
        <v>59</v>
      </c>
    </row>
    <row r="10" spans="1:6" x14ac:dyDescent="0.45">
      <c r="E10">
        <f>B8+C9</f>
        <v>49912.05</v>
      </c>
      <c r="F10">
        <f>B7-C9</f>
        <v>53287.95</v>
      </c>
    </row>
    <row r="11" spans="1:6" x14ac:dyDescent="0.45">
      <c r="A11" s="6" t="s">
        <v>6</v>
      </c>
      <c r="B11" s="6" t="s">
        <v>16</v>
      </c>
      <c r="C11" s="6" t="s">
        <v>57</v>
      </c>
      <c r="D11" s="6" t="s">
        <v>7</v>
      </c>
      <c r="E11" s="6" t="s">
        <v>8</v>
      </c>
    </row>
    <row r="12" spans="1:6" x14ac:dyDescent="0.45">
      <c r="A12" s="3">
        <v>49500</v>
      </c>
      <c r="B12" s="3">
        <f>MAX(A12-$B$7,0)</f>
        <v>0</v>
      </c>
      <c r="C12" s="3">
        <f t="shared" ref="C12:C32" si="0">MAX($B$8-A12,0)</f>
        <v>2000</v>
      </c>
      <c r="D12" s="3">
        <f t="shared" ref="D12:D32" si="1">C12+B12</f>
        <v>2000</v>
      </c>
      <c r="E12" s="3">
        <f t="shared" ref="E12:E32" si="2">D12+$C$9</f>
        <v>412.04999999999995</v>
      </c>
    </row>
    <row r="13" spans="1:6" x14ac:dyDescent="0.45">
      <c r="A13" s="3">
        <v>49700</v>
      </c>
      <c r="B13" s="3">
        <f t="shared" ref="B12:B32" si="3">MAX(A13-$B$7,0)</f>
        <v>0</v>
      </c>
      <c r="C13" s="3">
        <f t="shared" si="0"/>
        <v>1800</v>
      </c>
      <c r="D13" s="3">
        <f t="shared" si="1"/>
        <v>1800</v>
      </c>
      <c r="E13" s="3">
        <f t="shared" si="2"/>
        <v>212.04999999999995</v>
      </c>
    </row>
    <row r="14" spans="1:6" x14ac:dyDescent="0.45">
      <c r="A14" s="3">
        <v>49900</v>
      </c>
      <c r="B14" s="3">
        <f t="shared" si="3"/>
        <v>0</v>
      </c>
      <c r="C14" s="3">
        <f t="shared" si="0"/>
        <v>1600</v>
      </c>
      <c r="D14" s="3">
        <f t="shared" si="1"/>
        <v>1600</v>
      </c>
      <c r="E14" s="3">
        <f t="shared" si="2"/>
        <v>12.049999999999955</v>
      </c>
    </row>
    <row r="15" spans="1:6" x14ac:dyDescent="0.45">
      <c r="A15" s="3">
        <v>50100</v>
      </c>
      <c r="B15" s="3">
        <f t="shared" si="3"/>
        <v>0</v>
      </c>
      <c r="C15" s="3">
        <f t="shared" si="0"/>
        <v>1400</v>
      </c>
      <c r="D15" s="3">
        <f t="shared" si="1"/>
        <v>1400</v>
      </c>
      <c r="E15" s="3">
        <f t="shared" si="2"/>
        <v>-187.95000000000005</v>
      </c>
    </row>
    <row r="16" spans="1:6" x14ac:dyDescent="0.45">
      <c r="A16" s="3">
        <v>50300</v>
      </c>
      <c r="B16" s="3">
        <f t="shared" si="3"/>
        <v>0</v>
      </c>
      <c r="C16" s="3">
        <f t="shared" si="0"/>
        <v>1200</v>
      </c>
      <c r="D16" s="3">
        <f t="shared" si="1"/>
        <v>1200</v>
      </c>
      <c r="E16" s="3">
        <f t="shared" si="2"/>
        <v>-387.95000000000005</v>
      </c>
    </row>
    <row r="17" spans="1:5" x14ac:dyDescent="0.45">
      <c r="A17" s="3">
        <v>50500</v>
      </c>
      <c r="B17" s="3">
        <f t="shared" si="3"/>
        <v>0</v>
      </c>
      <c r="C17" s="3">
        <f t="shared" si="0"/>
        <v>1000</v>
      </c>
      <c r="D17" s="3">
        <f t="shared" si="1"/>
        <v>1000</v>
      </c>
      <c r="E17" s="3">
        <f t="shared" si="2"/>
        <v>-587.95000000000005</v>
      </c>
    </row>
    <row r="18" spans="1:5" x14ac:dyDescent="0.45">
      <c r="A18" s="3">
        <v>50700</v>
      </c>
      <c r="B18" s="3">
        <f t="shared" si="3"/>
        <v>0</v>
      </c>
      <c r="C18" s="3">
        <f t="shared" si="0"/>
        <v>800</v>
      </c>
      <c r="D18" s="3">
        <f t="shared" si="1"/>
        <v>800</v>
      </c>
      <c r="E18" s="3">
        <f t="shared" si="2"/>
        <v>-787.95</v>
      </c>
    </row>
    <row r="19" spans="1:5" x14ac:dyDescent="0.45">
      <c r="A19" s="3">
        <v>50900</v>
      </c>
      <c r="B19" s="3">
        <f t="shared" si="3"/>
        <v>0</v>
      </c>
      <c r="C19" s="3">
        <f t="shared" si="0"/>
        <v>600</v>
      </c>
      <c r="D19" s="3">
        <f t="shared" si="1"/>
        <v>600</v>
      </c>
      <c r="E19" s="3">
        <f t="shared" si="2"/>
        <v>-987.95</v>
      </c>
    </row>
    <row r="20" spans="1:5" x14ac:dyDescent="0.45">
      <c r="A20" s="3">
        <v>51100</v>
      </c>
      <c r="B20" s="3">
        <f t="shared" si="3"/>
        <v>0</v>
      </c>
      <c r="C20" s="3">
        <f t="shared" si="0"/>
        <v>400</v>
      </c>
      <c r="D20" s="3">
        <f t="shared" si="1"/>
        <v>400</v>
      </c>
      <c r="E20" s="3">
        <f t="shared" si="2"/>
        <v>-1187.95</v>
      </c>
    </row>
    <row r="21" spans="1:5" x14ac:dyDescent="0.45">
      <c r="A21" s="3">
        <v>51300</v>
      </c>
      <c r="B21" s="3">
        <f t="shared" si="3"/>
        <v>0</v>
      </c>
      <c r="C21" s="3">
        <f t="shared" si="0"/>
        <v>200</v>
      </c>
      <c r="D21" s="3">
        <f t="shared" si="1"/>
        <v>200</v>
      </c>
      <c r="E21" s="3">
        <f t="shared" si="2"/>
        <v>-1387.95</v>
      </c>
    </row>
    <row r="22" spans="1:5" x14ac:dyDescent="0.45">
      <c r="A22" s="3">
        <v>51500</v>
      </c>
      <c r="B22" s="3">
        <f t="shared" si="3"/>
        <v>0</v>
      </c>
      <c r="C22" s="3">
        <f t="shared" si="0"/>
        <v>0</v>
      </c>
      <c r="D22" s="3">
        <f t="shared" si="1"/>
        <v>0</v>
      </c>
      <c r="E22" s="3">
        <f t="shared" si="2"/>
        <v>-1587.95</v>
      </c>
    </row>
    <row r="23" spans="1:5" x14ac:dyDescent="0.45">
      <c r="A23" s="3">
        <v>51700</v>
      </c>
      <c r="B23" s="3">
        <f t="shared" si="3"/>
        <v>0</v>
      </c>
      <c r="C23" s="3">
        <f t="shared" si="0"/>
        <v>0</v>
      </c>
      <c r="D23" s="3">
        <f t="shared" si="1"/>
        <v>0</v>
      </c>
      <c r="E23" s="3">
        <f t="shared" si="2"/>
        <v>-1587.95</v>
      </c>
    </row>
    <row r="24" spans="1:5" x14ac:dyDescent="0.45">
      <c r="A24" s="3">
        <v>51900</v>
      </c>
      <c r="B24" s="3">
        <f t="shared" si="3"/>
        <v>200</v>
      </c>
      <c r="C24" s="3">
        <f t="shared" si="0"/>
        <v>0</v>
      </c>
      <c r="D24" s="3">
        <f t="shared" si="1"/>
        <v>200</v>
      </c>
      <c r="E24" s="3">
        <f t="shared" si="2"/>
        <v>-1387.95</v>
      </c>
    </row>
    <row r="25" spans="1:5" x14ac:dyDescent="0.45">
      <c r="A25" s="3">
        <v>52100</v>
      </c>
      <c r="B25" s="3">
        <f t="shared" si="3"/>
        <v>400</v>
      </c>
      <c r="C25" s="3">
        <f t="shared" si="0"/>
        <v>0</v>
      </c>
      <c r="D25" s="3">
        <f t="shared" si="1"/>
        <v>400</v>
      </c>
      <c r="E25" s="3">
        <f t="shared" si="2"/>
        <v>-1187.95</v>
      </c>
    </row>
    <row r="26" spans="1:5" x14ac:dyDescent="0.45">
      <c r="A26" s="3">
        <v>52300</v>
      </c>
      <c r="B26" s="3">
        <f t="shared" si="3"/>
        <v>600</v>
      </c>
      <c r="C26" s="3">
        <f t="shared" si="0"/>
        <v>0</v>
      </c>
      <c r="D26" s="3">
        <f t="shared" si="1"/>
        <v>600</v>
      </c>
      <c r="E26" s="3">
        <f t="shared" si="2"/>
        <v>-987.95</v>
      </c>
    </row>
    <row r="27" spans="1:5" x14ac:dyDescent="0.45">
      <c r="A27" s="3">
        <v>52500</v>
      </c>
      <c r="B27" s="3">
        <f t="shared" si="3"/>
        <v>800</v>
      </c>
      <c r="C27" s="3">
        <f t="shared" si="0"/>
        <v>0</v>
      </c>
      <c r="D27" s="3">
        <f t="shared" si="1"/>
        <v>800</v>
      </c>
      <c r="E27" s="3">
        <f t="shared" si="2"/>
        <v>-787.95</v>
      </c>
    </row>
    <row r="28" spans="1:5" x14ac:dyDescent="0.45">
      <c r="A28" s="3">
        <v>52700</v>
      </c>
      <c r="B28" s="3">
        <f t="shared" si="3"/>
        <v>1000</v>
      </c>
      <c r="C28" s="3">
        <f t="shared" si="0"/>
        <v>0</v>
      </c>
      <c r="D28" s="3">
        <f t="shared" si="1"/>
        <v>1000</v>
      </c>
      <c r="E28" s="3">
        <f t="shared" si="2"/>
        <v>-587.95000000000005</v>
      </c>
    </row>
    <row r="29" spans="1:5" x14ac:dyDescent="0.45">
      <c r="A29" s="3">
        <v>52900</v>
      </c>
      <c r="B29" s="3">
        <f t="shared" si="3"/>
        <v>1200</v>
      </c>
      <c r="C29" s="3">
        <f t="shared" si="0"/>
        <v>0</v>
      </c>
      <c r="D29" s="3">
        <f t="shared" si="1"/>
        <v>1200</v>
      </c>
      <c r="E29" s="3">
        <f t="shared" si="2"/>
        <v>-387.95000000000005</v>
      </c>
    </row>
    <row r="30" spans="1:5" x14ac:dyDescent="0.45">
      <c r="A30" s="3">
        <v>53100</v>
      </c>
      <c r="B30" s="3">
        <f t="shared" si="3"/>
        <v>1400</v>
      </c>
      <c r="C30" s="3">
        <f t="shared" si="0"/>
        <v>0</v>
      </c>
      <c r="D30" s="3">
        <f t="shared" si="1"/>
        <v>1400</v>
      </c>
      <c r="E30" s="3">
        <f t="shared" si="2"/>
        <v>-187.95000000000005</v>
      </c>
    </row>
    <row r="31" spans="1:5" x14ac:dyDescent="0.45">
      <c r="A31" s="3">
        <v>53300</v>
      </c>
      <c r="B31" s="3">
        <f t="shared" si="3"/>
        <v>1600</v>
      </c>
      <c r="C31" s="3">
        <f t="shared" si="0"/>
        <v>0</v>
      </c>
      <c r="D31" s="3">
        <f t="shared" si="1"/>
        <v>1600</v>
      </c>
      <c r="E31" s="3">
        <f t="shared" si="2"/>
        <v>12.049999999999955</v>
      </c>
    </row>
    <row r="32" spans="1:5" x14ac:dyDescent="0.45">
      <c r="A32" s="3">
        <v>53500</v>
      </c>
      <c r="B32" s="3">
        <f t="shared" si="3"/>
        <v>1800</v>
      </c>
      <c r="C32" s="3">
        <f t="shared" si="0"/>
        <v>0</v>
      </c>
      <c r="D32" s="3">
        <f t="shared" si="1"/>
        <v>1800</v>
      </c>
      <c r="E32" s="3">
        <f t="shared" si="2"/>
        <v>212.04999999999995</v>
      </c>
    </row>
    <row r="34" spans="1:11" ht="46.15" customHeight="1" x14ac:dyDescent="0.45">
      <c r="A34" s="18" t="s">
        <v>18</v>
      </c>
      <c r="B34" s="18" t="s">
        <v>19</v>
      </c>
      <c r="C34" s="18" t="s">
        <v>39</v>
      </c>
      <c r="D34" s="18" t="s">
        <v>40</v>
      </c>
      <c r="E34" s="18" t="s">
        <v>41</v>
      </c>
      <c r="F34" s="18" t="s">
        <v>42</v>
      </c>
      <c r="G34" s="18" t="s">
        <v>43</v>
      </c>
      <c r="H34" s="18" t="s">
        <v>16</v>
      </c>
      <c r="I34" s="18" t="s">
        <v>57</v>
      </c>
      <c r="J34" s="18" t="s">
        <v>7</v>
      </c>
      <c r="K34" s="18" t="s">
        <v>8</v>
      </c>
    </row>
    <row r="35" spans="1:11" x14ac:dyDescent="0.45">
      <c r="A35" s="10">
        <v>45505</v>
      </c>
      <c r="B35" s="8">
        <v>51564</v>
      </c>
      <c r="C35" s="8">
        <v>51672.6</v>
      </c>
      <c r="D35" s="8">
        <v>51877.15</v>
      </c>
      <c r="E35" s="8">
        <v>51456.2</v>
      </c>
      <c r="F35" s="3" t="s">
        <v>20</v>
      </c>
      <c r="G35" s="11">
        <v>2.0000000000000001E-4</v>
      </c>
      <c r="H35" s="8">
        <f>MAX(B35-$B$7,0)</f>
        <v>0</v>
      </c>
      <c r="I35" s="8">
        <f>MAX($B$8-B35,0)</f>
        <v>0</v>
      </c>
      <c r="J35" s="3">
        <f t="shared" ref="J35:J53" si="4">I35+H35</f>
        <v>0</v>
      </c>
      <c r="K35" s="3">
        <f t="shared" ref="K35:K53" si="5">J35+$C$9</f>
        <v>-1587.95</v>
      </c>
    </row>
    <row r="36" spans="1:11" x14ac:dyDescent="0.45">
      <c r="A36" s="10">
        <v>45506</v>
      </c>
      <c r="B36" s="8">
        <v>51350.15</v>
      </c>
      <c r="C36" s="8">
        <v>51172.25</v>
      </c>
      <c r="D36" s="8">
        <v>51608.7</v>
      </c>
      <c r="E36" s="8">
        <v>51087.85</v>
      </c>
      <c r="F36" s="3" t="s">
        <v>21</v>
      </c>
      <c r="G36" s="11">
        <v>-4.1000000000000003E-3</v>
      </c>
      <c r="H36" s="8">
        <f t="shared" ref="H36:H53" si="6">MAX(B36-$B$7,0)</f>
        <v>0</v>
      </c>
      <c r="I36" s="8">
        <f t="shared" ref="I36:I53" si="7">MAX($B$8-B36,0)</f>
        <v>149.84999999999854</v>
      </c>
      <c r="J36" s="3">
        <f t="shared" si="4"/>
        <v>149.84999999999854</v>
      </c>
      <c r="K36" s="3">
        <f t="shared" si="5"/>
        <v>-1438.1000000000015</v>
      </c>
    </row>
    <row r="37" spans="1:11" x14ac:dyDescent="0.45">
      <c r="A37" s="10">
        <v>45509</v>
      </c>
      <c r="B37" s="8">
        <v>50092.1</v>
      </c>
      <c r="C37" s="8">
        <v>50586.25</v>
      </c>
      <c r="D37" s="8">
        <v>50747.55</v>
      </c>
      <c r="E37" s="8">
        <v>49719.1</v>
      </c>
      <c r="F37" s="3" t="s">
        <v>22</v>
      </c>
      <c r="G37" s="11">
        <v>-2.4500000000000001E-2</v>
      </c>
      <c r="H37" s="8">
        <f t="shared" si="6"/>
        <v>0</v>
      </c>
      <c r="I37" s="8">
        <f t="shared" si="7"/>
        <v>1407.9000000000015</v>
      </c>
      <c r="J37" s="3">
        <f t="shared" si="4"/>
        <v>1407.9000000000015</v>
      </c>
      <c r="K37" s="3">
        <f t="shared" si="5"/>
        <v>-180.04999999999859</v>
      </c>
    </row>
    <row r="38" spans="1:11" x14ac:dyDescent="0.45">
      <c r="A38" s="10">
        <v>45510</v>
      </c>
      <c r="B38" s="8">
        <v>49748.3</v>
      </c>
      <c r="C38" s="8">
        <v>50436.9</v>
      </c>
      <c r="D38" s="8">
        <v>50688.800000000003</v>
      </c>
      <c r="E38" s="8">
        <v>49659.05</v>
      </c>
      <c r="F38" s="3" t="s">
        <v>23</v>
      </c>
      <c r="G38" s="11">
        <v>-6.8999999999999999E-3</v>
      </c>
      <c r="H38" s="8">
        <f t="shared" si="6"/>
        <v>0</v>
      </c>
      <c r="I38" s="8">
        <f t="shared" si="7"/>
        <v>1751.6999999999971</v>
      </c>
      <c r="J38" s="3">
        <f t="shared" si="4"/>
        <v>1751.6999999999971</v>
      </c>
      <c r="K38" s="3">
        <f t="shared" si="5"/>
        <v>163.74999999999704</v>
      </c>
    </row>
    <row r="39" spans="1:11" x14ac:dyDescent="0.45">
      <c r="A39" s="10">
        <v>45511</v>
      </c>
      <c r="B39" s="8">
        <v>50119</v>
      </c>
      <c r="C39" s="8">
        <v>50286.2</v>
      </c>
      <c r="D39" s="8">
        <v>50292.45</v>
      </c>
      <c r="E39" s="8">
        <v>49782.2</v>
      </c>
      <c r="F39" s="3" t="s">
        <v>24</v>
      </c>
      <c r="G39" s="11">
        <v>7.4999999999999997E-3</v>
      </c>
      <c r="H39" s="8">
        <f t="shared" si="6"/>
        <v>0</v>
      </c>
      <c r="I39" s="8">
        <f t="shared" si="7"/>
        <v>1381</v>
      </c>
      <c r="J39" s="3">
        <f t="shared" si="4"/>
        <v>1381</v>
      </c>
      <c r="K39" s="3">
        <f t="shared" si="5"/>
        <v>-206.95000000000005</v>
      </c>
    </row>
    <row r="40" spans="1:11" x14ac:dyDescent="0.45">
      <c r="A40" s="10">
        <v>45512</v>
      </c>
      <c r="B40" s="8">
        <v>50156.7</v>
      </c>
      <c r="C40" s="8">
        <v>50051.9</v>
      </c>
      <c r="D40" s="8">
        <v>50440.75</v>
      </c>
      <c r="E40" s="8">
        <v>49829.599999999999</v>
      </c>
      <c r="F40" s="3" t="s">
        <v>25</v>
      </c>
      <c r="G40" s="11">
        <v>8.0000000000000004E-4</v>
      </c>
      <c r="H40" s="8">
        <f t="shared" si="6"/>
        <v>0</v>
      </c>
      <c r="I40" s="8">
        <f t="shared" si="7"/>
        <v>1343.3000000000029</v>
      </c>
      <c r="J40" s="3">
        <f t="shared" si="4"/>
        <v>1343.3000000000029</v>
      </c>
      <c r="K40" s="3">
        <f t="shared" si="5"/>
        <v>-244.64999999999714</v>
      </c>
    </row>
    <row r="41" spans="1:11" x14ac:dyDescent="0.45">
      <c r="A41" s="10">
        <v>45513</v>
      </c>
      <c r="B41" s="8">
        <v>50484.5</v>
      </c>
      <c r="C41" s="8">
        <v>50612.1</v>
      </c>
      <c r="D41" s="8">
        <v>50707.75</v>
      </c>
      <c r="E41" s="8">
        <v>50386.45</v>
      </c>
      <c r="F41" s="3" t="s">
        <v>26</v>
      </c>
      <c r="G41" s="11">
        <v>6.4999999999999997E-3</v>
      </c>
      <c r="H41" s="8">
        <f t="shared" si="6"/>
        <v>0</v>
      </c>
      <c r="I41" s="8">
        <f t="shared" si="7"/>
        <v>1015.5</v>
      </c>
      <c r="J41" s="3">
        <f t="shared" si="4"/>
        <v>1015.5</v>
      </c>
      <c r="K41" s="3">
        <f t="shared" si="5"/>
        <v>-572.45000000000005</v>
      </c>
    </row>
    <row r="42" spans="1:11" x14ac:dyDescent="0.45">
      <c r="A42" s="10">
        <v>45516</v>
      </c>
      <c r="B42" s="8">
        <v>50577.95</v>
      </c>
      <c r="C42" s="8">
        <v>50412.6</v>
      </c>
      <c r="D42" s="8">
        <v>50830.7</v>
      </c>
      <c r="E42" s="8">
        <v>50149.25</v>
      </c>
      <c r="F42" s="3" t="s">
        <v>27</v>
      </c>
      <c r="G42" s="11">
        <v>1.9E-3</v>
      </c>
      <c r="H42" s="8">
        <f t="shared" si="6"/>
        <v>0</v>
      </c>
      <c r="I42" s="8">
        <f t="shared" si="7"/>
        <v>922.05000000000291</v>
      </c>
      <c r="J42" s="3">
        <f t="shared" si="4"/>
        <v>922.05000000000291</v>
      </c>
      <c r="K42" s="3">
        <f t="shared" si="5"/>
        <v>-665.89999999999714</v>
      </c>
    </row>
    <row r="43" spans="1:11" x14ac:dyDescent="0.45">
      <c r="A43" s="10">
        <v>45517</v>
      </c>
      <c r="B43" s="8">
        <v>49831.85</v>
      </c>
      <c r="C43" s="8">
        <v>50395.35</v>
      </c>
      <c r="D43" s="8">
        <v>50559.25</v>
      </c>
      <c r="E43" s="8">
        <v>49785.1</v>
      </c>
      <c r="F43" s="3" t="s">
        <v>28</v>
      </c>
      <c r="G43" s="11">
        <v>-1.4800000000000001E-2</v>
      </c>
      <c r="H43" s="8">
        <f t="shared" si="6"/>
        <v>0</v>
      </c>
      <c r="I43" s="8">
        <f t="shared" si="7"/>
        <v>1668.1500000000015</v>
      </c>
      <c r="J43" s="3">
        <f t="shared" si="4"/>
        <v>1668.1500000000015</v>
      </c>
      <c r="K43" s="3">
        <f t="shared" si="5"/>
        <v>80.20000000000141</v>
      </c>
    </row>
    <row r="44" spans="1:11" x14ac:dyDescent="0.45">
      <c r="A44" s="10">
        <v>45518</v>
      </c>
      <c r="B44" s="8">
        <v>49727.3</v>
      </c>
      <c r="C44" s="8">
        <v>49887.15</v>
      </c>
      <c r="D44" s="8">
        <v>49959.25</v>
      </c>
      <c r="E44" s="8">
        <v>49654.65</v>
      </c>
      <c r="F44" s="3" t="s">
        <v>29</v>
      </c>
      <c r="G44" s="11">
        <v>-2.0999999999999999E-3</v>
      </c>
      <c r="H44" s="8">
        <f t="shared" si="6"/>
        <v>0</v>
      </c>
      <c r="I44" s="8">
        <f t="shared" si="7"/>
        <v>1772.6999999999971</v>
      </c>
      <c r="J44" s="3">
        <f t="shared" si="4"/>
        <v>1772.6999999999971</v>
      </c>
      <c r="K44" s="3">
        <f t="shared" si="5"/>
        <v>184.74999999999704</v>
      </c>
    </row>
    <row r="45" spans="1:11" x14ac:dyDescent="0.45">
      <c r="A45" s="10">
        <v>45520</v>
      </c>
      <c r="B45" s="8">
        <v>50516.9</v>
      </c>
      <c r="C45" s="8">
        <v>50133</v>
      </c>
      <c r="D45" s="8">
        <v>50603.4</v>
      </c>
      <c r="E45" s="8">
        <v>49806.05</v>
      </c>
      <c r="F45" s="3" t="s">
        <v>30</v>
      </c>
      <c r="G45" s="11">
        <v>1.5900000000000001E-2</v>
      </c>
      <c r="H45" s="8">
        <f t="shared" si="6"/>
        <v>0</v>
      </c>
      <c r="I45" s="8">
        <f t="shared" si="7"/>
        <v>983.09999999999854</v>
      </c>
      <c r="J45" s="3">
        <f t="shared" si="4"/>
        <v>983.09999999999854</v>
      </c>
      <c r="K45" s="3">
        <f t="shared" si="5"/>
        <v>-604.8500000000015</v>
      </c>
    </row>
    <row r="46" spans="1:11" x14ac:dyDescent="0.45">
      <c r="A46" s="10">
        <v>45523</v>
      </c>
      <c r="B46" s="8">
        <v>50368.35</v>
      </c>
      <c r="C46" s="8">
        <v>50683.55</v>
      </c>
      <c r="D46" s="8">
        <v>50728.25</v>
      </c>
      <c r="E46" s="8">
        <v>50283.55</v>
      </c>
      <c r="F46" s="3" t="s">
        <v>31</v>
      </c>
      <c r="G46" s="11">
        <v>-2.8999999999999998E-3</v>
      </c>
      <c r="H46" s="8">
        <f t="shared" si="6"/>
        <v>0</v>
      </c>
      <c r="I46" s="8">
        <f t="shared" si="7"/>
        <v>1131.6500000000015</v>
      </c>
      <c r="J46" s="3">
        <f t="shared" si="4"/>
        <v>1131.6500000000015</v>
      </c>
      <c r="K46" s="3">
        <f t="shared" si="5"/>
        <v>-456.29999999999859</v>
      </c>
    </row>
    <row r="47" spans="1:11" x14ac:dyDescent="0.45">
      <c r="A47" s="10">
        <v>45524</v>
      </c>
      <c r="B47" s="8">
        <v>50803.15</v>
      </c>
      <c r="C47" s="8">
        <v>50417.25</v>
      </c>
      <c r="D47" s="8">
        <v>51025.599999999999</v>
      </c>
      <c r="E47" s="8">
        <v>50398.6</v>
      </c>
      <c r="F47" s="3" t="s">
        <v>32</v>
      </c>
      <c r="G47" s="11">
        <v>8.6E-3</v>
      </c>
      <c r="H47" s="8">
        <f t="shared" si="6"/>
        <v>0</v>
      </c>
      <c r="I47" s="8">
        <f t="shared" si="7"/>
        <v>696.84999999999854</v>
      </c>
      <c r="J47" s="3">
        <f t="shared" si="4"/>
        <v>696.84999999999854</v>
      </c>
      <c r="K47" s="3">
        <f t="shared" si="5"/>
        <v>-891.1000000000015</v>
      </c>
    </row>
    <row r="48" spans="1:11" x14ac:dyDescent="0.45">
      <c r="A48" s="12">
        <v>45525</v>
      </c>
      <c r="B48" s="9">
        <v>50685.55</v>
      </c>
      <c r="C48" s="9">
        <v>50666.65</v>
      </c>
      <c r="D48" s="9">
        <v>50772.45</v>
      </c>
      <c r="E48" s="9">
        <v>50333.35</v>
      </c>
      <c r="F48" s="6" t="s">
        <v>33</v>
      </c>
      <c r="G48" s="13">
        <v>-2.3E-3</v>
      </c>
      <c r="H48" s="9">
        <f t="shared" si="6"/>
        <v>0</v>
      </c>
      <c r="I48" s="9">
        <f t="shared" si="7"/>
        <v>814.44999999999709</v>
      </c>
      <c r="J48" s="6">
        <f t="shared" si="4"/>
        <v>814.44999999999709</v>
      </c>
      <c r="K48" s="6">
        <f t="shared" si="5"/>
        <v>-773.50000000000296</v>
      </c>
    </row>
    <row r="49" spans="1:11" x14ac:dyDescent="0.45">
      <c r="A49" s="10">
        <v>45526</v>
      </c>
      <c r="B49" s="8">
        <v>50985.7</v>
      </c>
      <c r="C49" s="8">
        <v>50894.8</v>
      </c>
      <c r="D49" s="8">
        <v>51080</v>
      </c>
      <c r="E49" s="8">
        <v>50794.45</v>
      </c>
      <c r="F49" s="3" t="s">
        <v>34</v>
      </c>
      <c r="G49" s="11">
        <v>5.8999999999999999E-3</v>
      </c>
      <c r="H49" s="8">
        <f t="shared" si="6"/>
        <v>0</v>
      </c>
      <c r="I49" s="8">
        <f t="shared" si="7"/>
        <v>514.30000000000291</v>
      </c>
      <c r="J49" s="3">
        <f t="shared" si="4"/>
        <v>514.30000000000291</v>
      </c>
      <c r="K49" s="3">
        <f t="shared" si="5"/>
        <v>-1073.6499999999971</v>
      </c>
    </row>
    <row r="50" spans="1:11" x14ac:dyDescent="0.45">
      <c r="A50" s="10">
        <v>45527</v>
      </c>
      <c r="B50" s="8">
        <v>50933.45</v>
      </c>
      <c r="C50" s="8">
        <v>51040.05</v>
      </c>
      <c r="D50" s="8">
        <v>51117.85</v>
      </c>
      <c r="E50" s="8">
        <v>50856.7</v>
      </c>
      <c r="F50" s="3" t="s">
        <v>35</v>
      </c>
      <c r="G50" s="11">
        <v>-1E-3</v>
      </c>
      <c r="H50" s="8">
        <f t="shared" si="6"/>
        <v>0</v>
      </c>
      <c r="I50" s="8">
        <f t="shared" si="7"/>
        <v>566.55000000000291</v>
      </c>
      <c r="J50" s="3">
        <f t="shared" si="4"/>
        <v>566.55000000000291</v>
      </c>
      <c r="K50" s="3">
        <f t="shared" si="5"/>
        <v>-1021.3999999999971</v>
      </c>
    </row>
    <row r="51" spans="1:11" x14ac:dyDescent="0.45">
      <c r="A51" s="10">
        <v>45530</v>
      </c>
      <c r="B51" s="8">
        <v>51148.1</v>
      </c>
      <c r="C51" s="8">
        <v>51100.65</v>
      </c>
      <c r="D51" s="8">
        <v>51317.85</v>
      </c>
      <c r="E51" s="8">
        <v>51061.55</v>
      </c>
      <c r="F51" s="3" t="s">
        <v>36</v>
      </c>
      <c r="G51" s="11">
        <v>4.1999999999999997E-3</v>
      </c>
      <c r="H51" s="8">
        <f t="shared" si="6"/>
        <v>0</v>
      </c>
      <c r="I51" s="8">
        <f t="shared" si="7"/>
        <v>351.90000000000146</v>
      </c>
      <c r="J51" s="3">
        <f t="shared" si="4"/>
        <v>351.90000000000146</v>
      </c>
      <c r="K51" s="3">
        <f t="shared" si="5"/>
        <v>-1236.0499999999986</v>
      </c>
    </row>
    <row r="52" spans="1:11" x14ac:dyDescent="0.45">
      <c r="A52" s="10">
        <v>45531</v>
      </c>
      <c r="B52" s="8">
        <v>51278.75</v>
      </c>
      <c r="C52" s="8">
        <v>51214.05</v>
      </c>
      <c r="D52" s="8">
        <v>51404.7</v>
      </c>
      <c r="E52" s="8">
        <v>50938.1</v>
      </c>
      <c r="F52" s="3" t="s">
        <v>37</v>
      </c>
      <c r="G52" s="11">
        <v>2.5999999999999999E-3</v>
      </c>
      <c r="H52" s="8">
        <f t="shared" si="6"/>
        <v>0</v>
      </c>
      <c r="I52" s="8">
        <f t="shared" si="7"/>
        <v>221.25</v>
      </c>
      <c r="J52" s="3">
        <f t="shared" si="4"/>
        <v>221.25</v>
      </c>
      <c r="K52" s="3">
        <f t="shared" si="5"/>
        <v>-1366.7</v>
      </c>
    </row>
    <row r="53" spans="1:11" x14ac:dyDescent="0.45">
      <c r="A53" s="10">
        <v>45532</v>
      </c>
      <c r="B53" s="8">
        <v>51143.85</v>
      </c>
      <c r="C53" s="8">
        <v>51208.95</v>
      </c>
      <c r="D53" s="8">
        <v>51260.75</v>
      </c>
      <c r="E53" s="8">
        <v>51033.7</v>
      </c>
      <c r="F53" s="3" t="s">
        <v>38</v>
      </c>
      <c r="G53" s="11">
        <v>-2.5999999999999999E-3</v>
      </c>
      <c r="H53" s="8">
        <f t="shared" si="6"/>
        <v>0</v>
      </c>
      <c r="I53" s="8">
        <f t="shared" si="7"/>
        <v>356.15000000000146</v>
      </c>
      <c r="J53" s="3">
        <f t="shared" si="4"/>
        <v>356.15000000000146</v>
      </c>
      <c r="K53" s="3">
        <f t="shared" si="5"/>
        <v>-1231.7999999999986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B5F6-0B0B-4AFE-BA81-DD867D4765D8}">
  <dimension ref="A1:K53"/>
  <sheetViews>
    <sheetView topLeftCell="A14" zoomScale="82" workbookViewId="0">
      <selection activeCell="G56" sqref="G56"/>
    </sheetView>
  </sheetViews>
  <sheetFormatPr defaultColWidth="8.796875" defaultRowHeight="14.25" x14ac:dyDescent="0.45"/>
  <cols>
    <col min="1" max="1" width="15.06640625" bestFit="1" customWidth="1"/>
    <col min="2" max="2" width="14.19921875" customWidth="1"/>
    <col min="3" max="3" width="15.19921875" customWidth="1"/>
    <col min="4" max="4" width="12.265625" customWidth="1"/>
    <col min="5" max="5" width="15.796875" customWidth="1"/>
    <col min="6" max="6" width="9.1328125" bestFit="1" customWidth="1"/>
  </cols>
  <sheetData>
    <row r="1" spans="1:6" x14ac:dyDescent="0.45">
      <c r="A1" s="1" t="s">
        <v>12</v>
      </c>
      <c r="B1" s="1" t="s">
        <v>0</v>
      </c>
      <c r="C1" s="1" t="s">
        <v>1</v>
      </c>
      <c r="D1" s="1"/>
      <c r="E1" s="1" t="s">
        <v>13</v>
      </c>
      <c r="F1">
        <v>51564</v>
      </c>
    </row>
    <row r="2" spans="1:6" x14ac:dyDescent="0.45">
      <c r="A2" s="1" t="s">
        <v>2</v>
      </c>
      <c r="B2" s="2">
        <v>45505</v>
      </c>
      <c r="C2" s="2">
        <v>45505</v>
      </c>
      <c r="D2" s="2"/>
      <c r="E2" s="1" t="s">
        <v>14</v>
      </c>
      <c r="F2">
        <v>15</v>
      </c>
    </row>
    <row r="3" spans="1:6" x14ac:dyDescent="0.45">
      <c r="A3">
        <v>51300</v>
      </c>
      <c r="B3" s="5">
        <v>1060.75</v>
      </c>
      <c r="C3">
        <v>610.35</v>
      </c>
      <c r="E3" s="1" t="s">
        <v>15</v>
      </c>
      <c r="F3" s="2">
        <v>45532</v>
      </c>
    </row>
    <row r="4" spans="1:6" x14ac:dyDescent="0.45">
      <c r="A4" s="1">
        <v>51500</v>
      </c>
      <c r="B4" s="17">
        <v>940.7</v>
      </c>
      <c r="C4" s="19">
        <v>691.1</v>
      </c>
      <c r="D4" s="4"/>
    </row>
    <row r="5" spans="1:6" x14ac:dyDescent="0.45">
      <c r="A5" s="1">
        <v>51700</v>
      </c>
      <c r="B5" s="1">
        <v>896.85</v>
      </c>
      <c r="C5" s="17">
        <v>765.4</v>
      </c>
    </row>
    <row r="6" spans="1:6" x14ac:dyDescent="0.45">
      <c r="B6" t="s">
        <v>2</v>
      </c>
      <c r="C6" t="s">
        <v>3</v>
      </c>
    </row>
    <row r="7" spans="1:6" x14ac:dyDescent="0.45">
      <c r="A7" t="s">
        <v>51</v>
      </c>
      <c r="B7">
        <f>A5</f>
        <v>51700</v>
      </c>
      <c r="C7">
        <f>B5</f>
        <v>896.85</v>
      </c>
    </row>
    <row r="8" spans="1:6" x14ac:dyDescent="0.45">
      <c r="A8" t="s">
        <v>52</v>
      </c>
      <c r="B8">
        <f>A4</f>
        <v>51500</v>
      </c>
      <c r="C8" s="4">
        <f>C4</f>
        <v>691.1</v>
      </c>
    </row>
    <row r="9" spans="1:6" x14ac:dyDescent="0.45">
      <c r="A9" t="s">
        <v>55</v>
      </c>
      <c r="C9">
        <f>SUM(C7:C8)</f>
        <v>1587.95</v>
      </c>
      <c r="E9" t="s">
        <v>60</v>
      </c>
    </row>
    <row r="10" spans="1:6" x14ac:dyDescent="0.45">
      <c r="E10">
        <f>B8-C9</f>
        <v>49912.05</v>
      </c>
      <c r="F10">
        <f>B7+C9</f>
        <v>53287.95</v>
      </c>
    </row>
    <row r="11" spans="1:6" x14ac:dyDescent="0.45">
      <c r="A11" s="6" t="s">
        <v>6</v>
      </c>
      <c r="B11" s="6" t="s">
        <v>53</v>
      </c>
      <c r="C11" s="6" t="s">
        <v>58</v>
      </c>
      <c r="D11" s="6" t="s">
        <v>7</v>
      </c>
      <c r="E11" s="6" t="s">
        <v>8</v>
      </c>
    </row>
    <row r="12" spans="1:6" x14ac:dyDescent="0.45">
      <c r="A12" s="3">
        <v>49500</v>
      </c>
      <c r="B12" s="3">
        <f>MIN($B$7-A12,0)</f>
        <v>0</v>
      </c>
      <c r="C12" s="3">
        <f>MIN(A12-$B$8,0)</f>
        <v>-2000</v>
      </c>
      <c r="D12" s="3">
        <f t="shared" ref="D12:D32" si="0">C12+B12</f>
        <v>-2000</v>
      </c>
      <c r="E12" s="3">
        <f t="shared" ref="E12:E32" si="1">D12+$C$9</f>
        <v>-412.04999999999995</v>
      </c>
    </row>
    <row r="13" spans="1:6" x14ac:dyDescent="0.45">
      <c r="A13" s="3">
        <v>49700</v>
      </c>
      <c r="B13" s="3">
        <f t="shared" ref="B13:B32" si="2">MIN($B$7-A13,0)</f>
        <v>0</v>
      </c>
      <c r="C13" s="3">
        <f t="shared" ref="C13:C32" si="3">MIN(A13-$B$8,0)</f>
        <v>-1800</v>
      </c>
      <c r="D13" s="3">
        <f t="shared" si="0"/>
        <v>-1800</v>
      </c>
      <c r="E13" s="3">
        <f t="shared" si="1"/>
        <v>-212.04999999999995</v>
      </c>
    </row>
    <row r="14" spans="1:6" x14ac:dyDescent="0.45">
      <c r="A14" s="3">
        <v>49900</v>
      </c>
      <c r="B14" s="3">
        <f t="shared" si="2"/>
        <v>0</v>
      </c>
      <c r="C14" s="3">
        <f t="shared" si="3"/>
        <v>-1600</v>
      </c>
      <c r="D14" s="3">
        <f t="shared" si="0"/>
        <v>-1600</v>
      </c>
      <c r="E14" s="3">
        <f t="shared" si="1"/>
        <v>-12.049999999999955</v>
      </c>
    </row>
    <row r="15" spans="1:6" x14ac:dyDescent="0.45">
      <c r="A15" s="3">
        <v>50100</v>
      </c>
      <c r="B15" s="3">
        <f t="shared" si="2"/>
        <v>0</v>
      </c>
      <c r="C15" s="3">
        <f t="shared" si="3"/>
        <v>-1400</v>
      </c>
      <c r="D15" s="3">
        <f t="shared" si="0"/>
        <v>-1400</v>
      </c>
      <c r="E15" s="3">
        <f t="shared" si="1"/>
        <v>187.95000000000005</v>
      </c>
    </row>
    <row r="16" spans="1:6" x14ac:dyDescent="0.45">
      <c r="A16" s="3">
        <v>50300</v>
      </c>
      <c r="B16" s="3">
        <f t="shared" si="2"/>
        <v>0</v>
      </c>
      <c r="C16" s="3">
        <f t="shared" si="3"/>
        <v>-1200</v>
      </c>
      <c r="D16" s="3">
        <f t="shared" si="0"/>
        <v>-1200</v>
      </c>
      <c r="E16" s="3">
        <f t="shared" si="1"/>
        <v>387.95000000000005</v>
      </c>
    </row>
    <row r="17" spans="1:5" x14ac:dyDescent="0.45">
      <c r="A17" s="3">
        <v>50500</v>
      </c>
      <c r="B17" s="3">
        <f t="shared" si="2"/>
        <v>0</v>
      </c>
      <c r="C17" s="3">
        <f t="shared" si="3"/>
        <v>-1000</v>
      </c>
      <c r="D17" s="3">
        <f t="shared" si="0"/>
        <v>-1000</v>
      </c>
      <c r="E17" s="3">
        <f t="shared" si="1"/>
        <v>587.95000000000005</v>
      </c>
    </row>
    <row r="18" spans="1:5" x14ac:dyDescent="0.45">
      <c r="A18" s="3">
        <v>50700</v>
      </c>
      <c r="B18" s="3">
        <f t="shared" si="2"/>
        <v>0</v>
      </c>
      <c r="C18" s="3">
        <f t="shared" si="3"/>
        <v>-800</v>
      </c>
      <c r="D18" s="3">
        <f t="shared" si="0"/>
        <v>-800</v>
      </c>
      <c r="E18" s="3">
        <f t="shared" si="1"/>
        <v>787.95</v>
      </c>
    </row>
    <row r="19" spans="1:5" x14ac:dyDescent="0.45">
      <c r="A19" s="3">
        <v>50900</v>
      </c>
      <c r="B19" s="3">
        <f t="shared" si="2"/>
        <v>0</v>
      </c>
      <c r="C19" s="3">
        <f t="shared" si="3"/>
        <v>-600</v>
      </c>
      <c r="D19" s="3">
        <f t="shared" si="0"/>
        <v>-600</v>
      </c>
      <c r="E19" s="3">
        <f t="shared" si="1"/>
        <v>987.95</v>
      </c>
    </row>
    <row r="20" spans="1:5" x14ac:dyDescent="0.45">
      <c r="A20" s="3">
        <v>51100</v>
      </c>
      <c r="B20" s="3">
        <f t="shared" si="2"/>
        <v>0</v>
      </c>
      <c r="C20" s="3">
        <f t="shared" si="3"/>
        <v>-400</v>
      </c>
      <c r="D20" s="3">
        <f t="shared" si="0"/>
        <v>-400</v>
      </c>
      <c r="E20" s="3">
        <f t="shared" si="1"/>
        <v>1187.95</v>
      </c>
    </row>
    <row r="21" spans="1:5" x14ac:dyDescent="0.45">
      <c r="A21" s="3">
        <v>51300</v>
      </c>
      <c r="B21" s="3">
        <f t="shared" si="2"/>
        <v>0</v>
      </c>
      <c r="C21" s="3">
        <f t="shared" si="3"/>
        <v>-200</v>
      </c>
      <c r="D21" s="3">
        <f t="shared" si="0"/>
        <v>-200</v>
      </c>
      <c r="E21" s="3">
        <f t="shared" si="1"/>
        <v>1387.95</v>
      </c>
    </row>
    <row r="22" spans="1:5" x14ac:dyDescent="0.45">
      <c r="A22" s="3">
        <v>51500</v>
      </c>
      <c r="B22" s="3">
        <f t="shared" si="2"/>
        <v>0</v>
      </c>
      <c r="C22" s="3">
        <f t="shared" si="3"/>
        <v>0</v>
      </c>
      <c r="D22" s="3">
        <f t="shared" si="0"/>
        <v>0</v>
      </c>
      <c r="E22" s="3">
        <f t="shared" si="1"/>
        <v>1587.95</v>
      </c>
    </row>
    <row r="23" spans="1:5" x14ac:dyDescent="0.45">
      <c r="A23" s="3">
        <v>51700</v>
      </c>
      <c r="B23" s="3">
        <f t="shared" si="2"/>
        <v>0</v>
      </c>
      <c r="C23" s="3">
        <f t="shared" si="3"/>
        <v>0</v>
      </c>
      <c r="D23" s="3">
        <f t="shared" si="0"/>
        <v>0</v>
      </c>
      <c r="E23" s="3">
        <f t="shared" si="1"/>
        <v>1587.95</v>
      </c>
    </row>
    <row r="24" spans="1:5" x14ac:dyDescent="0.45">
      <c r="A24" s="3">
        <v>51900</v>
      </c>
      <c r="B24" s="3">
        <f t="shared" si="2"/>
        <v>-200</v>
      </c>
      <c r="C24" s="3">
        <f t="shared" si="3"/>
        <v>0</v>
      </c>
      <c r="D24" s="3">
        <f t="shared" si="0"/>
        <v>-200</v>
      </c>
      <c r="E24" s="3">
        <f t="shared" si="1"/>
        <v>1387.95</v>
      </c>
    </row>
    <row r="25" spans="1:5" x14ac:dyDescent="0.45">
      <c r="A25" s="3">
        <v>52100</v>
      </c>
      <c r="B25" s="3">
        <f t="shared" si="2"/>
        <v>-400</v>
      </c>
      <c r="C25" s="3">
        <f t="shared" si="3"/>
        <v>0</v>
      </c>
      <c r="D25" s="3">
        <f t="shared" si="0"/>
        <v>-400</v>
      </c>
      <c r="E25" s="3">
        <f t="shared" si="1"/>
        <v>1187.95</v>
      </c>
    </row>
    <row r="26" spans="1:5" x14ac:dyDescent="0.45">
      <c r="A26" s="3">
        <v>52300</v>
      </c>
      <c r="B26" s="3">
        <f t="shared" si="2"/>
        <v>-600</v>
      </c>
      <c r="C26" s="3">
        <f t="shared" si="3"/>
        <v>0</v>
      </c>
      <c r="D26" s="3">
        <f t="shared" si="0"/>
        <v>-600</v>
      </c>
      <c r="E26" s="3">
        <f t="shared" si="1"/>
        <v>987.95</v>
      </c>
    </row>
    <row r="27" spans="1:5" x14ac:dyDescent="0.45">
      <c r="A27" s="3">
        <v>52500</v>
      </c>
      <c r="B27" s="3">
        <f t="shared" si="2"/>
        <v>-800</v>
      </c>
      <c r="C27" s="3">
        <f t="shared" si="3"/>
        <v>0</v>
      </c>
      <c r="D27" s="3">
        <f t="shared" si="0"/>
        <v>-800</v>
      </c>
      <c r="E27" s="3">
        <f t="shared" si="1"/>
        <v>787.95</v>
      </c>
    </row>
    <row r="28" spans="1:5" x14ac:dyDescent="0.45">
      <c r="A28" s="3">
        <v>52700</v>
      </c>
      <c r="B28" s="3">
        <f t="shared" si="2"/>
        <v>-1000</v>
      </c>
      <c r="C28" s="3">
        <f t="shared" si="3"/>
        <v>0</v>
      </c>
      <c r="D28" s="3">
        <f t="shared" si="0"/>
        <v>-1000</v>
      </c>
      <c r="E28" s="3">
        <f t="shared" si="1"/>
        <v>587.95000000000005</v>
      </c>
    </row>
    <row r="29" spans="1:5" x14ac:dyDescent="0.45">
      <c r="A29" s="3">
        <v>52900</v>
      </c>
      <c r="B29" s="3">
        <f t="shared" si="2"/>
        <v>-1200</v>
      </c>
      <c r="C29" s="3">
        <f t="shared" si="3"/>
        <v>0</v>
      </c>
      <c r="D29" s="3">
        <f t="shared" si="0"/>
        <v>-1200</v>
      </c>
      <c r="E29" s="3">
        <f t="shared" si="1"/>
        <v>387.95000000000005</v>
      </c>
    </row>
    <row r="30" spans="1:5" x14ac:dyDescent="0.45">
      <c r="A30" s="3">
        <v>53100</v>
      </c>
      <c r="B30" s="3">
        <f t="shared" si="2"/>
        <v>-1400</v>
      </c>
      <c r="C30" s="3">
        <f t="shared" si="3"/>
        <v>0</v>
      </c>
      <c r="D30" s="3">
        <f t="shared" si="0"/>
        <v>-1400</v>
      </c>
      <c r="E30" s="3">
        <f t="shared" si="1"/>
        <v>187.95000000000005</v>
      </c>
    </row>
    <row r="31" spans="1:5" x14ac:dyDescent="0.45">
      <c r="A31" s="3">
        <v>53300</v>
      </c>
      <c r="B31" s="3">
        <f t="shared" si="2"/>
        <v>-1600</v>
      </c>
      <c r="C31" s="3">
        <f t="shared" si="3"/>
        <v>0</v>
      </c>
      <c r="D31" s="3">
        <f t="shared" si="0"/>
        <v>-1600</v>
      </c>
      <c r="E31" s="3">
        <f t="shared" si="1"/>
        <v>-12.049999999999955</v>
      </c>
    </row>
    <row r="32" spans="1:5" x14ac:dyDescent="0.45">
      <c r="A32" s="3">
        <v>53500</v>
      </c>
      <c r="B32" s="3">
        <f t="shared" si="2"/>
        <v>-1800</v>
      </c>
      <c r="C32" s="3">
        <f t="shared" si="3"/>
        <v>0</v>
      </c>
      <c r="D32" s="3">
        <f t="shared" si="0"/>
        <v>-1800</v>
      </c>
      <c r="E32" s="3">
        <f t="shared" si="1"/>
        <v>-212.04999999999995</v>
      </c>
    </row>
    <row r="34" spans="1:11" ht="34.9" customHeight="1" x14ac:dyDescent="0.45">
      <c r="A34" s="18" t="s">
        <v>18</v>
      </c>
      <c r="B34" s="18" t="s">
        <v>19</v>
      </c>
      <c r="C34" s="18" t="s">
        <v>39</v>
      </c>
      <c r="D34" s="18" t="s">
        <v>40</v>
      </c>
      <c r="E34" s="18" t="s">
        <v>41</v>
      </c>
      <c r="F34" s="18" t="s">
        <v>42</v>
      </c>
      <c r="G34" s="18" t="s">
        <v>43</v>
      </c>
      <c r="H34" s="18" t="s">
        <v>16</v>
      </c>
      <c r="I34" s="18" t="s">
        <v>58</v>
      </c>
      <c r="J34" s="18" t="s">
        <v>7</v>
      </c>
      <c r="K34" s="18" t="s">
        <v>8</v>
      </c>
    </row>
    <row r="35" spans="1:11" x14ac:dyDescent="0.45">
      <c r="A35" s="10">
        <v>45505</v>
      </c>
      <c r="B35" s="8">
        <v>51564</v>
      </c>
      <c r="C35" s="8">
        <v>51672.6</v>
      </c>
      <c r="D35" s="8">
        <v>51877.15</v>
      </c>
      <c r="E35" s="8">
        <v>51456.2</v>
      </c>
      <c r="F35" s="3" t="s">
        <v>20</v>
      </c>
      <c r="G35" s="11">
        <v>2.0000000000000001E-4</v>
      </c>
      <c r="H35" s="8">
        <f>MIN($B$7-B35,0)</f>
        <v>0</v>
      </c>
      <c r="I35" s="8">
        <f>MIN(B35-$B$8,0)</f>
        <v>0</v>
      </c>
      <c r="J35" s="3">
        <f t="shared" ref="J35:J53" si="4">I35+H35</f>
        <v>0</v>
      </c>
      <c r="K35" s="3">
        <f t="shared" ref="K35:K53" si="5">J35+$C$9</f>
        <v>1587.95</v>
      </c>
    </row>
    <row r="36" spans="1:11" x14ac:dyDescent="0.45">
      <c r="A36" s="10">
        <v>45506</v>
      </c>
      <c r="B36" s="8">
        <v>51350.15</v>
      </c>
      <c r="C36" s="8">
        <v>51172.25</v>
      </c>
      <c r="D36" s="8">
        <v>51608.7</v>
      </c>
      <c r="E36" s="8">
        <v>51087.85</v>
      </c>
      <c r="F36" s="3" t="s">
        <v>21</v>
      </c>
      <c r="G36" s="11">
        <v>-4.1000000000000003E-3</v>
      </c>
      <c r="H36" s="8">
        <f t="shared" ref="H36:H53" si="6">MIN($B$7-B36,0)</f>
        <v>0</v>
      </c>
      <c r="I36" s="8">
        <f t="shared" ref="I36:I53" si="7">MIN(B36-$B$8,0)</f>
        <v>-149.84999999999854</v>
      </c>
      <c r="J36" s="3">
        <f t="shared" si="4"/>
        <v>-149.84999999999854</v>
      </c>
      <c r="K36" s="3">
        <f t="shared" si="5"/>
        <v>1438.1000000000015</v>
      </c>
    </row>
    <row r="37" spans="1:11" x14ac:dyDescent="0.45">
      <c r="A37" s="10">
        <v>45509</v>
      </c>
      <c r="B37" s="8">
        <v>50092.1</v>
      </c>
      <c r="C37" s="8">
        <v>50586.25</v>
      </c>
      <c r="D37" s="8">
        <v>50747.55</v>
      </c>
      <c r="E37" s="8">
        <v>49719.1</v>
      </c>
      <c r="F37" s="3" t="s">
        <v>22</v>
      </c>
      <c r="G37" s="11">
        <v>-2.4500000000000001E-2</v>
      </c>
      <c r="H37" s="8">
        <f t="shared" si="6"/>
        <v>0</v>
      </c>
      <c r="I37" s="8">
        <f t="shared" si="7"/>
        <v>-1407.9000000000015</v>
      </c>
      <c r="J37" s="3">
        <f t="shared" si="4"/>
        <v>-1407.9000000000015</v>
      </c>
      <c r="K37" s="3">
        <f t="shared" si="5"/>
        <v>180.04999999999859</v>
      </c>
    </row>
    <row r="38" spans="1:11" x14ac:dyDescent="0.45">
      <c r="A38" s="10">
        <v>45510</v>
      </c>
      <c r="B38" s="8">
        <v>49748.3</v>
      </c>
      <c r="C38" s="8">
        <v>50436.9</v>
      </c>
      <c r="D38" s="8">
        <v>50688.800000000003</v>
      </c>
      <c r="E38" s="8">
        <v>49659.05</v>
      </c>
      <c r="F38" s="3" t="s">
        <v>23</v>
      </c>
      <c r="G38" s="11">
        <v>-6.8999999999999999E-3</v>
      </c>
      <c r="H38" s="8">
        <f t="shared" si="6"/>
        <v>0</v>
      </c>
      <c r="I38" s="8">
        <f t="shared" si="7"/>
        <v>-1751.6999999999971</v>
      </c>
      <c r="J38" s="3">
        <f t="shared" si="4"/>
        <v>-1751.6999999999971</v>
      </c>
      <c r="K38" s="3">
        <f t="shared" si="5"/>
        <v>-163.74999999999704</v>
      </c>
    </row>
    <row r="39" spans="1:11" x14ac:dyDescent="0.45">
      <c r="A39" s="10">
        <v>45511</v>
      </c>
      <c r="B39" s="8">
        <v>50119</v>
      </c>
      <c r="C39" s="8">
        <v>50286.2</v>
      </c>
      <c r="D39" s="8">
        <v>50292.45</v>
      </c>
      <c r="E39" s="8">
        <v>49782.2</v>
      </c>
      <c r="F39" s="3" t="s">
        <v>24</v>
      </c>
      <c r="G39" s="11">
        <v>7.4999999999999997E-3</v>
      </c>
      <c r="H39" s="8">
        <f t="shared" si="6"/>
        <v>0</v>
      </c>
      <c r="I39" s="8">
        <f t="shared" si="7"/>
        <v>-1381</v>
      </c>
      <c r="J39" s="3">
        <f t="shared" si="4"/>
        <v>-1381</v>
      </c>
      <c r="K39" s="3">
        <f t="shared" si="5"/>
        <v>206.95000000000005</v>
      </c>
    </row>
    <row r="40" spans="1:11" x14ac:dyDescent="0.45">
      <c r="A40" s="10">
        <v>45512</v>
      </c>
      <c r="B40" s="8">
        <v>50156.7</v>
      </c>
      <c r="C40" s="8">
        <v>50051.9</v>
      </c>
      <c r="D40" s="8">
        <v>50440.75</v>
      </c>
      <c r="E40" s="8">
        <v>49829.599999999999</v>
      </c>
      <c r="F40" s="3" t="s">
        <v>25</v>
      </c>
      <c r="G40" s="11">
        <v>8.0000000000000004E-4</v>
      </c>
      <c r="H40" s="8">
        <f t="shared" si="6"/>
        <v>0</v>
      </c>
      <c r="I40" s="8">
        <f t="shared" si="7"/>
        <v>-1343.3000000000029</v>
      </c>
      <c r="J40" s="3">
        <f t="shared" si="4"/>
        <v>-1343.3000000000029</v>
      </c>
      <c r="K40" s="3">
        <f t="shared" si="5"/>
        <v>244.64999999999714</v>
      </c>
    </row>
    <row r="41" spans="1:11" x14ac:dyDescent="0.45">
      <c r="A41" s="10">
        <v>45513</v>
      </c>
      <c r="B41" s="8">
        <v>50484.5</v>
      </c>
      <c r="C41" s="8">
        <v>50612.1</v>
      </c>
      <c r="D41" s="8">
        <v>50707.75</v>
      </c>
      <c r="E41" s="8">
        <v>50386.45</v>
      </c>
      <c r="F41" s="3" t="s">
        <v>26</v>
      </c>
      <c r="G41" s="11">
        <v>6.4999999999999997E-3</v>
      </c>
      <c r="H41" s="8">
        <f t="shared" si="6"/>
        <v>0</v>
      </c>
      <c r="I41" s="8">
        <f t="shared" si="7"/>
        <v>-1015.5</v>
      </c>
      <c r="J41" s="3">
        <f t="shared" si="4"/>
        <v>-1015.5</v>
      </c>
      <c r="K41" s="3">
        <f t="shared" si="5"/>
        <v>572.45000000000005</v>
      </c>
    </row>
    <row r="42" spans="1:11" x14ac:dyDescent="0.45">
      <c r="A42" s="10">
        <v>45516</v>
      </c>
      <c r="B42" s="8">
        <v>50577.95</v>
      </c>
      <c r="C42" s="8">
        <v>50412.6</v>
      </c>
      <c r="D42" s="8">
        <v>50830.7</v>
      </c>
      <c r="E42" s="8">
        <v>50149.25</v>
      </c>
      <c r="F42" s="3" t="s">
        <v>27</v>
      </c>
      <c r="G42" s="11">
        <v>1.9E-3</v>
      </c>
      <c r="H42" s="8">
        <f t="shared" si="6"/>
        <v>0</v>
      </c>
      <c r="I42" s="8">
        <f t="shared" si="7"/>
        <v>-922.05000000000291</v>
      </c>
      <c r="J42" s="3">
        <f t="shared" si="4"/>
        <v>-922.05000000000291</v>
      </c>
      <c r="K42" s="3">
        <f t="shared" si="5"/>
        <v>665.89999999999714</v>
      </c>
    </row>
    <row r="43" spans="1:11" x14ac:dyDescent="0.45">
      <c r="A43" s="10">
        <v>45517</v>
      </c>
      <c r="B43" s="8">
        <v>49831.85</v>
      </c>
      <c r="C43" s="8">
        <v>50395.35</v>
      </c>
      <c r="D43" s="8">
        <v>50559.25</v>
      </c>
      <c r="E43" s="8">
        <v>49785.1</v>
      </c>
      <c r="F43" s="3" t="s">
        <v>28</v>
      </c>
      <c r="G43" s="11">
        <v>-1.4800000000000001E-2</v>
      </c>
      <c r="H43" s="8">
        <f t="shared" si="6"/>
        <v>0</v>
      </c>
      <c r="I43" s="8">
        <f t="shared" si="7"/>
        <v>-1668.1500000000015</v>
      </c>
      <c r="J43" s="3">
        <f t="shared" si="4"/>
        <v>-1668.1500000000015</v>
      </c>
      <c r="K43" s="3">
        <f t="shared" si="5"/>
        <v>-80.20000000000141</v>
      </c>
    </row>
    <row r="44" spans="1:11" x14ac:dyDescent="0.45">
      <c r="A44" s="10">
        <v>45518</v>
      </c>
      <c r="B44" s="8">
        <v>49727.3</v>
      </c>
      <c r="C44" s="8">
        <v>49887.15</v>
      </c>
      <c r="D44" s="8">
        <v>49959.25</v>
      </c>
      <c r="E44" s="8">
        <v>49654.65</v>
      </c>
      <c r="F44" s="3" t="s">
        <v>29</v>
      </c>
      <c r="G44" s="11">
        <v>-2.0999999999999999E-3</v>
      </c>
      <c r="H44" s="8">
        <f t="shared" si="6"/>
        <v>0</v>
      </c>
      <c r="I44" s="8">
        <f t="shared" si="7"/>
        <v>-1772.6999999999971</v>
      </c>
      <c r="J44" s="3">
        <f t="shared" si="4"/>
        <v>-1772.6999999999971</v>
      </c>
      <c r="K44" s="3">
        <f t="shared" si="5"/>
        <v>-184.74999999999704</v>
      </c>
    </row>
    <row r="45" spans="1:11" x14ac:dyDescent="0.45">
      <c r="A45" s="10">
        <v>45520</v>
      </c>
      <c r="B45" s="8">
        <v>50516.9</v>
      </c>
      <c r="C45" s="8">
        <v>50133</v>
      </c>
      <c r="D45" s="8">
        <v>50603.4</v>
      </c>
      <c r="E45" s="8">
        <v>49806.05</v>
      </c>
      <c r="F45" s="3" t="s">
        <v>30</v>
      </c>
      <c r="G45" s="11">
        <v>1.5900000000000001E-2</v>
      </c>
      <c r="H45" s="8">
        <f t="shared" si="6"/>
        <v>0</v>
      </c>
      <c r="I45" s="8">
        <f t="shared" si="7"/>
        <v>-983.09999999999854</v>
      </c>
      <c r="J45" s="3">
        <f t="shared" si="4"/>
        <v>-983.09999999999854</v>
      </c>
      <c r="K45" s="3">
        <f t="shared" si="5"/>
        <v>604.8500000000015</v>
      </c>
    </row>
    <row r="46" spans="1:11" x14ac:dyDescent="0.45">
      <c r="A46" s="10">
        <v>45523</v>
      </c>
      <c r="B46" s="8">
        <v>50368.35</v>
      </c>
      <c r="C46" s="8">
        <v>50683.55</v>
      </c>
      <c r="D46" s="8">
        <v>50728.25</v>
      </c>
      <c r="E46" s="8">
        <v>50283.55</v>
      </c>
      <c r="F46" s="3" t="s">
        <v>31</v>
      </c>
      <c r="G46" s="11">
        <v>-2.8999999999999998E-3</v>
      </c>
      <c r="H46" s="8">
        <f t="shared" si="6"/>
        <v>0</v>
      </c>
      <c r="I46" s="8">
        <f t="shared" si="7"/>
        <v>-1131.6500000000015</v>
      </c>
      <c r="J46" s="3">
        <f t="shared" si="4"/>
        <v>-1131.6500000000015</v>
      </c>
      <c r="K46" s="3">
        <f t="shared" si="5"/>
        <v>456.29999999999859</v>
      </c>
    </row>
    <row r="47" spans="1:11" x14ac:dyDescent="0.45">
      <c r="A47" s="10">
        <v>45524</v>
      </c>
      <c r="B47" s="8">
        <v>50803.15</v>
      </c>
      <c r="C47" s="8">
        <v>50417.25</v>
      </c>
      <c r="D47" s="8">
        <v>51025.599999999999</v>
      </c>
      <c r="E47" s="8">
        <v>50398.6</v>
      </c>
      <c r="F47" s="3" t="s">
        <v>32</v>
      </c>
      <c r="G47" s="11">
        <v>8.6E-3</v>
      </c>
      <c r="H47" s="8">
        <f t="shared" si="6"/>
        <v>0</v>
      </c>
      <c r="I47" s="8">
        <f t="shared" si="7"/>
        <v>-696.84999999999854</v>
      </c>
      <c r="J47" s="3">
        <f t="shared" si="4"/>
        <v>-696.84999999999854</v>
      </c>
      <c r="K47" s="3">
        <f t="shared" si="5"/>
        <v>891.1000000000015</v>
      </c>
    </row>
    <row r="48" spans="1:11" x14ac:dyDescent="0.45">
      <c r="A48" s="12">
        <v>45525</v>
      </c>
      <c r="B48" s="9">
        <v>50685.55</v>
      </c>
      <c r="C48" s="9">
        <v>50666.65</v>
      </c>
      <c r="D48" s="9">
        <v>50772.45</v>
      </c>
      <c r="E48" s="9">
        <v>50333.35</v>
      </c>
      <c r="F48" s="6" t="s">
        <v>33</v>
      </c>
      <c r="G48" s="13">
        <v>-2.3E-3</v>
      </c>
      <c r="H48" s="9">
        <f t="shared" si="6"/>
        <v>0</v>
      </c>
      <c r="I48" s="9">
        <f t="shared" si="7"/>
        <v>-814.44999999999709</v>
      </c>
      <c r="J48" s="6">
        <f t="shared" si="4"/>
        <v>-814.44999999999709</v>
      </c>
      <c r="K48" s="6">
        <f t="shared" si="5"/>
        <v>773.50000000000296</v>
      </c>
    </row>
    <row r="49" spans="1:11" x14ac:dyDescent="0.45">
      <c r="A49" s="10">
        <v>45526</v>
      </c>
      <c r="B49" s="8">
        <v>50985.7</v>
      </c>
      <c r="C49" s="8">
        <v>50894.8</v>
      </c>
      <c r="D49" s="8">
        <v>51080</v>
      </c>
      <c r="E49" s="8">
        <v>50794.45</v>
      </c>
      <c r="F49" s="3" t="s">
        <v>34</v>
      </c>
      <c r="G49" s="11">
        <v>5.8999999999999999E-3</v>
      </c>
      <c r="H49" s="8">
        <f t="shared" si="6"/>
        <v>0</v>
      </c>
      <c r="I49" s="8">
        <f t="shared" si="7"/>
        <v>-514.30000000000291</v>
      </c>
      <c r="J49" s="3">
        <f t="shared" si="4"/>
        <v>-514.30000000000291</v>
      </c>
      <c r="K49" s="3">
        <f t="shared" si="5"/>
        <v>1073.6499999999971</v>
      </c>
    </row>
    <row r="50" spans="1:11" x14ac:dyDescent="0.45">
      <c r="A50" s="10">
        <v>45527</v>
      </c>
      <c r="B50" s="8">
        <v>50933.45</v>
      </c>
      <c r="C50" s="8">
        <v>51040.05</v>
      </c>
      <c r="D50" s="8">
        <v>51117.85</v>
      </c>
      <c r="E50" s="8">
        <v>50856.7</v>
      </c>
      <c r="F50" s="3" t="s">
        <v>35</v>
      </c>
      <c r="G50" s="11">
        <v>-1E-3</v>
      </c>
      <c r="H50" s="8">
        <f t="shared" si="6"/>
        <v>0</v>
      </c>
      <c r="I50" s="8">
        <f t="shared" si="7"/>
        <v>-566.55000000000291</v>
      </c>
      <c r="J50" s="3">
        <f t="shared" si="4"/>
        <v>-566.55000000000291</v>
      </c>
      <c r="K50" s="3">
        <f t="shared" si="5"/>
        <v>1021.3999999999971</v>
      </c>
    </row>
    <row r="51" spans="1:11" x14ac:dyDescent="0.45">
      <c r="A51" s="10">
        <v>45530</v>
      </c>
      <c r="B51" s="8">
        <v>51148.1</v>
      </c>
      <c r="C51" s="8">
        <v>51100.65</v>
      </c>
      <c r="D51" s="8">
        <v>51317.85</v>
      </c>
      <c r="E51" s="8">
        <v>51061.55</v>
      </c>
      <c r="F51" s="3" t="s">
        <v>36</v>
      </c>
      <c r="G51" s="11">
        <v>4.1999999999999997E-3</v>
      </c>
      <c r="H51" s="8">
        <f t="shared" si="6"/>
        <v>0</v>
      </c>
      <c r="I51" s="8">
        <f t="shared" si="7"/>
        <v>-351.90000000000146</v>
      </c>
      <c r="J51" s="3">
        <f t="shared" si="4"/>
        <v>-351.90000000000146</v>
      </c>
      <c r="K51" s="3">
        <f t="shared" si="5"/>
        <v>1236.0499999999986</v>
      </c>
    </row>
    <row r="52" spans="1:11" x14ac:dyDescent="0.45">
      <c r="A52" s="10">
        <v>45531</v>
      </c>
      <c r="B52" s="8">
        <v>51278.75</v>
      </c>
      <c r="C52" s="8">
        <v>51214.05</v>
      </c>
      <c r="D52" s="8">
        <v>51404.7</v>
      </c>
      <c r="E52" s="8">
        <v>50938.1</v>
      </c>
      <c r="F52" s="3" t="s">
        <v>37</v>
      </c>
      <c r="G52" s="11">
        <v>2.5999999999999999E-3</v>
      </c>
      <c r="H52" s="8">
        <f t="shared" si="6"/>
        <v>0</v>
      </c>
      <c r="I52" s="8">
        <f t="shared" si="7"/>
        <v>-221.25</v>
      </c>
      <c r="J52" s="3">
        <f t="shared" si="4"/>
        <v>-221.25</v>
      </c>
      <c r="K52" s="3">
        <f t="shared" si="5"/>
        <v>1366.7</v>
      </c>
    </row>
    <row r="53" spans="1:11" x14ac:dyDescent="0.45">
      <c r="A53" s="10">
        <v>45532</v>
      </c>
      <c r="B53" s="8">
        <v>51143.85</v>
      </c>
      <c r="C53" s="8">
        <v>51208.95</v>
      </c>
      <c r="D53" s="8">
        <v>51260.75</v>
      </c>
      <c r="E53" s="8">
        <v>51033.7</v>
      </c>
      <c r="F53" s="3" t="s">
        <v>38</v>
      </c>
      <c r="G53" s="11">
        <v>-2.5999999999999999E-3</v>
      </c>
      <c r="H53" s="8">
        <f t="shared" si="6"/>
        <v>0</v>
      </c>
      <c r="I53" s="8">
        <f t="shared" si="7"/>
        <v>-356.15000000000146</v>
      </c>
      <c r="J53" s="3">
        <f t="shared" si="4"/>
        <v>-356.15000000000146</v>
      </c>
      <c r="K53" s="3">
        <f t="shared" si="5"/>
        <v>1231.7999999999986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butterfly spread</vt:lpstr>
      <vt:lpstr>Long straddle</vt:lpstr>
      <vt:lpstr>Short straddle</vt:lpstr>
      <vt:lpstr>Long strangle</vt:lpstr>
      <vt:lpstr>Short strangle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2015-06-05T18:17:20Z</dcterms:created>
  <dcterms:modified xsi:type="dcterms:W3CDTF">2024-08-31T12:07:13Z</dcterms:modified>
</cp:coreProperties>
</file>