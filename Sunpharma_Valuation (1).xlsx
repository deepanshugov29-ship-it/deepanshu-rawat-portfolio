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0C26C8AA-AE96-48A3-BF41-0BE49A3B3CAF}" xr6:coauthVersionLast="47" xr6:coauthVersionMax="47" xr10:uidLastSave="{00000000-0000-0000-0000-000000000000}"/>
  <bookViews>
    <workbookView xWindow="-110" yWindow="-110" windowWidth="19420" windowHeight="10300" firstSheet="5" activeTab="8" xr2:uid="{00000000-000D-0000-FFFF-FFFF00000000}"/>
  </bookViews>
  <sheets>
    <sheet name="IS" sheetId="23" r:id="rId1"/>
    <sheet name="Revenue Projection" sheetId="19" r:id="rId2"/>
    <sheet name="FCFF (Best Case)" sheetId="16" r:id="rId3"/>
    <sheet name="FCFF (Worst Case)" sheetId="20" r:id="rId4"/>
    <sheet name="FCFF (Base Case)" sheetId="21" r:id="rId5"/>
    <sheet name="Fundamental Beta" sheetId="13" r:id="rId6"/>
    <sheet name="India 10-Year Bond Yield Histor" sheetId="15" r:id="rId7"/>
    <sheet name="WACC" sheetId="14" r:id="rId8"/>
    <sheet name="Relative Valuation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2" l="1"/>
  <c r="F30" i="12"/>
  <c r="D30" i="12"/>
  <c r="J17" i="12"/>
  <c r="F42" i="12"/>
  <c r="D8" i="14"/>
  <c r="N9" i="13"/>
  <c r="C11" i="13" s="1"/>
  <c r="M10" i="13"/>
  <c r="D31" i="16"/>
  <c r="D16" i="16"/>
  <c r="E15" i="16"/>
  <c r="D15" i="16"/>
  <c r="C13" i="19"/>
  <c r="C12" i="19"/>
  <c r="V31" i="19"/>
  <c r="D30" i="19"/>
  <c r="D29" i="19"/>
  <c r="D17" i="19"/>
  <c r="D5" i="19"/>
  <c r="D17" i="14"/>
  <c r="F3" i="15"/>
  <c r="N3" i="13"/>
  <c r="M9" i="13"/>
  <c r="L3" i="13"/>
  <c r="I3" i="13"/>
  <c r="U7" i="16"/>
  <c r="F13" i="16"/>
  <c r="E13" i="16"/>
  <c r="E22" i="16"/>
  <c r="F18" i="16"/>
  <c r="E18" i="16"/>
  <c r="E16" i="16"/>
  <c r="B37" i="16"/>
  <c r="D52" i="12"/>
  <c r="D50" i="12"/>
  <c r="D53" i="12" s="1"/>
  <c r="B47" i="16"/>
  <c r="E7" i="21" l="1"/>
  <c r="E22" i="21" s="1"/>
  <c r="F7" i="21"/>
  <c r="F20" i="21" s="1"/>
  <c r="G7" i="21"/>
  <c r="G22" i="21" s="1"/>
  <c r="H7" i="21"/>
  <c r="H22" i="21" s="1"/>
  <c r="I7" i="21"/>
  <c r="I18" i="21" s="1"/>
  <c r="J7" i="21"/>
  <c r="J18" i="21" s="1"/>
  <c r="K7" i="21"/>
  <c r="K18" i="21" s="1"/>
  <c r="L7" i="21"/>
  <c r="L18" i="21" s="1"/>
  <c r="M7" i="21"/>
  <c r="M18" i="21" s="1"/>
  <c r="N7" i="21"/>
  <c r="N18" i="21" s="1"/>
  <c r="D7" i="21"/>
  <c r="D23" i="21" s="1"/>
  <c r="W36" i="19"/>
  <c r="X36" i="19" s="1"/>
  <c r="C35" i="19"/>
  <c r="E34" i="19"/>
  <c r="F34" i="19" s="1"/>
  <c r="G34" i="19" s="1"/>
  <c r="H34" i="19" s="1"/>
  <c r="I34" i="19" s="1"/>
  <c r="J34" i="19" s="1"/>
  <c r="K34" i="19" s="1"/>
  <c r="L34" i="19" s="1"/>
  <c r="M34" i="19" s="1"/>
  <c r="D34" i="19"/>
  <c r="W33" i="19"/>
  <c r="X33" i="19" s="1"/>
  <c r="E33" i="19"/>
  <c r="F33" i="19" s="1"/>
  <c r="G33" i="19" s="1"/>
  <c r="H33" i="19" s="1"/>
  <c r="I33" i="19" s="1"/>
  <c r="J33" i="19" s="1"/>
  <c r="K33" i="19" s="1"/>
  <c r="L33" i="19" s="1"/>
  <c r="M33" i="19" s="1"/>
  <c r="D33" i="19"/>
  <c r="S32" i="19"/>
  <c r="T32" i="19" s="1"/>
  <c r="D32" i="19"/>
  <c r="E32" i="19" s="1"/>
  <c r="AA31" i="19"/>
  <c r="Z31" i="19"/>
  <c r="Y31" i="19"/>
  <c r="X31" i="19"/>
  <c r="W31" i="19"/>
  <c r="U31" i="19"/>
  <c r="T31" i="19"/>
  <c r="S31" i="19"/>
  <c r="E30" i="19" s="1"/>
  <c r="R31" i="19"/>
  <c r="D31" i="19"/>
  <c r="E31" i="19" s="1"/>
  <c r="F31" i="19" s="1"/>
  <c r="G31" i="19" s="1"/>
  <c r="H31" i="19" s="1"/>
  <c r="I31" i="19" s="1"/>
  <c r="D35" i="19"/>
  <c r="E7" i="20"/>
  <c r="F7" i="20"/>
  <c r="G7" i="20"/>
  <c r="H7" i="20"/>
  <c r="H27" i="20" s="1"/>
  <c r="I7" i="20"/>
  <c r="I27" i="20" s="1"/>
  <c r="J7" i="20"/>
  <c r="J25" i="20" s="1"/>
  <c r="J29" i="20" s="1"/>
  <c r="J31" i="20" s="1"/>
  <c r="J35" i="20" s="1"/>
  <c r="J37" i="20" s="1"/>
  <c r="K7" i="20"/>
  <c r="L7" i="20"/>
  <c r="M7" i="20"/>
  <c r="N7" i="20"/>
  <c r="D7" i="20"/>
  <c r="D33" i="20" s="1"/>
  <c r="C37" i="21"/>
  <c r="B37" i="21"/>
  <c r="D15" i="21"/>
  <c r="D16" i="21" s="1"/>
  <c r="H13" i="21"/>
  <c r="F13" i="21"/>
  <c r="Q8" i="21"/>
  <c r="U7" i="21" s="1"/>
  <c r="C37" i="20"/>
  <c r="B37" i="20"/>
  <c r="I22" i="20"/>
  <c r="H22" i="20"/>
  <c r="G22" i="20"/>
  <c r="F22" i="20"/>
  <c r="E22" i="20"/>
  <c r="D21" i="20"/>
  <c r="I20" i="20"/>
  <c r="H20" i="20"/>
  <c r="G20" i="20"/>
  <c r="F20" i="20"/>
  <c r="E20" i="20"/>
  <c r="J18" i="20"/>
  <c r="I18" i="20"/>
  <c r="H18" i="20"/>
  <c r="G18" i="20"/>
  <c r="F18" i="20"/>
  <c r="E18" i="20"/>
  <c r="D16" i="20"/>
  <c r="D15" i="20"/>
  <c r="H13" i="20"/>
  <c r="G13" i="20"/>
  <c r="F13" i="20"/>
  <c r="E13" i="20"/>
  <c r="D12" i="20"/>
  <c r="I11" i="20"/>
  <c r="H11" i="20"/>
  <c r="G11" i="20"/>
  <c r="F11" i="20"/>
  <c r="E11" i="20"/>
  <c r="Q8" i="20"/>
  <c r="U7" i="20"/>
  <c r="N18" i="20"/>
  <c r="M25" i="20"/>
  <c r="M29" i="20" s="1"/>
  <c r="L18" i="20"/>
  <c r="K25" i="20"/>
  <c r="K29" i="20" s="1"/>
  <c r="G27" i="20"/>
  <c r="F27" i="20"/>
  <c r="E27" i="20"/>
  <c r="C23" i="19"/>
  <c r="E22" i="19"/>
  <c r="F22" i="19" s="1"/>
  <c r="G22" i="19" s="1"/>
  <c r="H22" i="19" s="1"/>
  <c r="I22" i="19" s="1"/>
  <c r="J22" i="19" s="1"/>
  <c r="K22" i="19" s="1"/>
  <c r="L22" i="19" s="1"/>
  <c r="M22" i="19" s="1"/>
  <c r="D22" i="19"/>
  <c r="D21" i="19"/>
  <c r="E21" i="19" s="1"/>
  <c r="F21" i="19" s="1"/>
  <c r="G21" i="19" s="1"/>
  <c r="H21" i="19" s="1"/>
  <c r="I21" i="19" s="1"/>
  <c r="J21" i="19" s="1"/>
  <c r="K21" i="19" s="1"/>
  <c r="L21" i="19" s="1"/>
  <c r="M21" i="19" s="1"/>
  <c r="E20" i="19"/>
  <c r="F20" i="19" s="1"/>
  <c r="G20" i="19" s="1"/>
  <c r="H20" i="19" s="1"/>
  <c r="I20" i="19" s="1"/>
  <c r="J20" i="19" s="1"/>
  <c r="K20" i="19" s="1"/>
  <c r="L20" i="19" s="1"/>
  <c r="M20" i="19" s="1"/>
  <c r="D20" i="19"/>
  <c r="D19" i="19"/>
  <c r="E19" i="19" s="1"/>
  <c r="F19" i="19" s="1"/>
  <c r="G19" i="19" s="1"/>
  <c r="H19" i="19" s="1"/>
  <c r="I19" i="19" s="1"/>
  <c r="J19" i="19" s="1"/>
  <c r="K19" i="19" s="1"/>
  <c r="L19" i="19" s="1"/>
  <c r="M19" i="19" s="1"/>
  <c r="E18" i="19"/>
  <c r="F18" i="19" s="1"/>
  <c r="G18" i="19" s="1"/>
  <c r="H18" i="19" s="1"/>
  <c r="I18" i="19" s="1"/>
  <c r="J18" i="19" s="1"/>
  <c r="K18" i="19" s="1"/>
  <c r="L18" i="19" s="1"/>
  <c r="M18" i="19" s="1"/>
  <c r="D18" i="19"/>
  <c r="E17" i="19"/>
  <c r="W11" i="19"/>
  <c r="X11" i="19" s="1"/>
  <c r="C11" i="19"/>
  <c r="D7" i="16" s="1"/>
  <c r="D10" i="19"/>
  <c r="E10" i="19" s="1"/>
  <c r="F10" i="19" s="1"/>
  <c r="G10" i="19" s="1"/>
  <c r="H10" i="19" s="1"/>
  <c r="I10" i="19" s="1"/>
  <c r="J10" i="19" s="1"/>
  <c r="K10" i="19" s="1"/>
  <c r="L10" i="19" s="1"/>
  <c r="M10" i="19" s="1"/>
  <c r="D9" i="19"/>
  <c r="E9" i="19" s="1"/>
  <c r="F9" i="19" s="1"/>
  <c r="G9" i="19" s="1"/>
  <c r="H9" i="19" s="1"/>
  <c r="I9" i="19" s="1"/>
  <c r="J9" i="19" s="1"/>
  <c r="K9" i="19" s="1"/>
  <c r="L9" i="19" s="1"/>
  <c r="M9" i="19" s="1"/>
  <c r="S8" i="19"/>
  <c r="T8" i="19" s="1"/>
  <c r="U8" i="19" s="1"/>
  <c r="D8" i="19"/>
  <c r="E8" i="19" s="1"/>
  <c r="F8" i="19" s="1"/>
  <c r="G8" i="19" s="1"/>
  <c r="H8" i="19" s="1"/>
  <c r="I8" i="19" s="1"/>
  <c r="J8" i="19" s="1"/>
  <c r="K8" i="19" s="1"/>
  <c r="L8" i="19" s="1"/>
  <c r="M8" i="19" s="1"/>
  <c r="AA7" i="19"/>
  <c r="D7" i="19"/>
  <c r="E7" i="19" s="1"/>
  <c r="F7" i="19" s="1"/>
  <c r="G7" i="19" s="1"/>
  <c r="H7" i="19" s="1"/>
  <c r="I7" i="19" s="1"/>
  <c r="J7" i="19" s="1"/>
  <c r="K7" i="19" s="1"/>
  <c r="L7" i="19" s="1"/>
  <c r="M7" i="19" s="1"/>
  <c r="W6" i="19"/>
  <c r="X6" i="19" s="1"/>
  <c r="Y6" i="19" s="1"/>
  <c r="Z6" i="19" s="1"/>
  <c r="R5" i="19"/>
  <c r="S5" i="19" s="1"/>
  <c r="E5" i="19"/>
  <c r="I13" i="21" l="1"/>
  <c r="E27" i="21"/>
  <c r="F27" i="21"/>
  <c r="G27" i="21"/>
  <c r="G18" i="21"/>
  <c r="H27" i="21"/>
  <c r="H18" i="21"/>
  <c r="I27" i="21"/>
  <c r="E20" i="21"/>
  <c r="G20" i="21"/>
  <c r="G11" i="21"/>
  <c r="H20" i="21"/>
  <c r="H24" i="21" s="1"/>
  <c r="H11" i="21"/>
  <c r="I20" i="21"/>
  <c r="I11" i="21"/>
  <c r="E13" i="21"/>
  <c r="I22" i="21"/>
  <c r="D33" i="21"/>
  <c r="D12" i="21"/>
  <c r="D19" i="21"/>
  <c r="D30" i="21"/>
  <c r="D21" i="21"/>
  <c r="E11" i="21"/>
  <c r="E18" i="21"/>
  <c r="F22" i="21"/>
  <c r="F11" i="21"/>
  <c r="F18" i="21"/>
  <c r="J25" i="21"/>
  <c r="J29" i="21" s="1"/>
  <c r="J31" i="21" s="1"/>
  <c r="J35" i="21" s="1"/>
  <c r="J37" i="21" s="1"/>
  <c r="F24" i="21"/>
  <c r="I24" i="21"/>
  <c r="E15" i="21"/>
  <c r="F15" i="21" s="1"/>
  <c r="F30" i="19"/>
  <c r="G30" i="19"/>
  <c r="H30" i="19" s="1"/>
  <c r="I30" i="19" s="1"/>
  <c r="J30" i="19" s="1"/>
  <c r="K30" i="19" s="1"/>
  <c r="L30" i="19" s="1"/>
  <c r="M30" i="19" s="1"/>
  <c r="F32" i="19"/>
  <c r="U32" i="19"/>
  <c r="J31" i="19"/>
  <c r="Y33" i="19"/>
  <c r="Y36" i="19"/>
  <c r="E29" i="19"/>
  <c r="H24" i="20"/>
  <c r="E24" i="20"/>
  <c r="F24" i="20"/>
  <c r="G24" i="20"/>
  <c r="I13" i="20"/>
  <c r="I24" i="20" s="1"/>
  <c r="E15" i="20"/>
  <c r="F15" i="20" s="1"/>
  <c r="G15" i="20" s="1"/>
  <c r="H15" i="20" s="1"/>
  <c r="I15" i="20" s="1"/>
  <c r="D19" i="20"/>
  <c r="D23" i="20"/>
  <c r="D30" i="20"/>
  <c r="K25" i="21"/>
  <c r="K29" i="21" s="1"/>
  <c r="K31" i="21" s="1"/>
  <c r="K35" i="21" s="1"/>
  <c r="K37" i="21" s="1"/>
  <c r="N25" i="21"/>
  <c r="N29" i="21" s="1"/>
  <c r="N31" i="21" s="1"/>
  <c r="N35" i="21" s="1"/>
  <c r="G13" i="21"/>
  <c r="L25" i="21"/>
  <c r="L29" i="21" s="1"/>
  <c r="L31" i="21" s="1"/>
  <c r="L35" i="21" s="1"/>
  <c r="L37" i="21" s="1"/>
  <c r="M25" i="21"/>
  <c r="M29" i="21" s="1"/>
  <c r="M31" i="21" s="1"/>
  <c r="M35" i="21" s="1"/>
  <c r="M37" i="21" s="1"/>
  <c r="D25" i="21"/>
  <c r="E16" i="20"/>
  <c r="F16" i="20" s="1"/>
  <c r="G16" i="20" s="1"/>
  <c r="H16" i="20" s="1"/>
  <c r="I16" i="20" s="1"/>
  <c r="L25" i="20"/>
  <c r="L29" i="20" s="1"/>
  <c r="L31" i="20" s="1"/>
  <c r="L35" i="20" s="1"/>
  <c r="L37" i="20" s="1"/>
  <c r="K18" i="20"/>
  <c r="K31" i="20" s="1"/>
  <c r="K35" i="20" s="1"/>
  <c r="K37" i="20" s="1"/>
  <c r="M18" i="20"/>
  <c r="M31" i="20" s="1"/>
  <c r="M35" i="20" s="1"/>
  <c r="M37" i="20" s="1"/>
  <c r="D25" i="20"/>
  <c r="N25" i="20"/>
  <c r="N29" i="20" s="1"/>
  <c r="N31" i="20" s="1"/>
  <c r="N35" i="20" s="1"/>
  <c r="F17" i="19"/>
  <c r="E23" i="19"/>
  <c r="D23" i="19"/>
  <c r="R7" i="19"/>
  <c r="D6" i="19" s="1"/>
  <c r="D11" i="19" s="1"/>
  <c r="E7" i="16" s="1"/>
  <c r="F5" i="19"/>
  <c r="T5" i="19"/>
  <c r="S7" i="19"/>
  <c r="E6" i="19" s="1"/>
  <c r="E11" i="19" s="1"/>
  <c r="F7" i="16" s="1"/>
  <c r="Y11" i="19"/>
  <c r="G24" i="21" l="1"/>
  <c r="E16" i="21"/>
  <c r="F16" i="21" s="1"/>
  <c r="F25" i="21" s="1"/>
  <c r="G15" i="21"/>
  <c r="H15" i="21" s="1"/>
  <c r="I15" i="21" s="1"/>
  <c r="E24" i="21"/>
  <c r="E25" i="21" s="1"/>
  <c r="Z36" i="19"/>
  <c r="V32" i="19"/>
  <c r="G32" i="19"/>
  <c r="E35" i="19"/>
  <c r="F29" i="19"/>
  <c r="K31" i="19"/>
  <c r="Z33" i="19"/>
  <c r="I25" i="20"/>
  <c r="D29" i="21"/>
  <c r="D31" i="21" s="1"/>
  <c r="D35" i="21" s="1"/>
  <c r="D37" i="21" s="1"/>
  <c r="D26" i="21"/>
  <c r="I26" i="20"/>
  <c r="I29" i="20"/>
  <c r="I31" i="20" s="1"/>
  <c r="I35" i="20" s="1"/>
  <c r="I37" i="20" s="1"/>
  <c r="D29" i="20"/>
  <c r="D31" i="20" s="1"/>
  <c r="D35" i="20" s="1"/>
  <c r="D37" i="20" s="1"/>
  <c r="D26" i="20"/>
  <c r="F25" i="20"/>
  <c r="E25" i="20"/>
  <c r="G25" i="20"/>
  <c r="H25" i="20"/>
  <c r="F23" i="19"/>
  <c r="G17" i="19"/>
  <c r="Z11" i="19"/>
  <c r="U5" i="19"/>
  <c r="T7" i="19"/>
  <c r="F6" i="19" s="1"/>
  <c r="F11" i="19" s="1"/>
  <c r="G7" i="16" s="1"/>
  <c r="G5" i="19"/>
  <c r="G16" i="21" l="1"/>
  <c r="H16" i="21" s="1"/>
  <c r="G25" i="21"/>
  <c r="G29" i="21" s="1"/>
  <c r="G31" i="21" s="1"/>
  <c r="G35" i="21" s="1"/>
  <c r="G37" i="21" s="1"/>
  <c r="L31" i="19"/>
  <c r="AA33" i="19"/>
  <c r="M31" i="19" s="1"/>
  <c r="G29" i="19"/>
  <c r="F35" i="19"/>
  <c r="H32" i="19"/>
  <c r="W32" i="19"/>
  <c r="AA36" i="19"/>
  <c r="F29" i="21"/>
  <c r="F31" i="21" s="1"/>
  <c r="F35" i="21" s="1"/>
  <c r="F37" i="21" s="1"/>
  <c r="F26" i="21"/>
  <c r="G26" i="21"/>
  <c r="E26" i="21"/>
  <c r="E29" i="21"/>
  <c r="E31" i="21" s="1"/>
  <c r="E35" i="21" s="1"/>
  <c r="E37" i="21" s="1"/>
  <c r="I16" i="21"/>
  <c r="I25" i="21" s="1"/>
  <c r="H25" i="21"/>
  <c r="H26" i="20"/>
  <c r="H29" i="20"/>
  <c r="H31" i="20" s="1"/>
  <c r="H35" i="20" s="1"/>
  <c r="H37" i="20" s="1"/>
  <c r="G26" i="20"/>
  <c r="G29" i="20"/>
  <c r="G31" i="20" s="1"/>
  <c r="G35" i="20" s="1"/>
  <c r="G37" i="20" s="1"/>
  <c r="E29" i="20"/>
  <c r="E31" i="20" s="1"/>
  <c r="E35" i="20" s="1"/>
  <c r="E37" i="20" s="1"/>
  <c r="E26" i="20"/>
  <c r="F26" i="20"/>
  <c r="F29" i="20"/>
  <c r="F31" i="20" s="1"/>
  <c r="F35" i="20" s="1"/>
  <c r="F37" i="20" s="1"/>
  <c r="H17" i="19"/>
  <c r="G23" i="19"/>
  <c r="H5" i="19"/>
  <c r="V5" i="19"/>
  <c r="U7" i="19"/>
  <c r="G6" i="19" s="1"/>
  <c r="G11" i="19" s="1"/>
  <c r="H7" i="16" s="1"/>
  <c r="AA11" i="19"/>
  <c r="H29" i="19" l="1"/>
  <c r="G35" i="19"/>
  <c r="X32" i="19"/>
  <c r="I32" i="19"/>
  <c r="H26" i="21"/>
  <c r="H29" i="21"/>
  <c r="H31" i="21" s="1"/>
  <c r="H35" i="21" s="1"/>
  <c r="H37" i="21" s="1"/>
  <c r="I29" i="21"/>
  <c r="I31" i="21" s="1"/>
  <c r="I35" i="21" s="1"/>
  <c r="I37" i="21" s="1"/>
  <c r="I26" i="21"/>
  <c r="H23" i="19"/>
  <c r="I17" i="19"/>
  <c r="W5" i="19"/>
  <c r="V7" i="19"/>
  <c r="H6" i="19" s="1"/>
  <c r="I5" i="19"/>
  <c r="H11" i="19"/>
  <c r="I7" i="16" s="1"/>
  <c r="H35" i="19" l="1"/>
  <c r="I29" i="19"/>
  <c r="Y32" i="19"/>
  <c r="J32" i="19"/>
  <c r="J17" i="19"/>
  <c r="I23" i="19"/>
  <c r="J5" i="19"/>
  <c r="W7" i="19"/>
  <c r="I6" i="19" s="1"/>
  <c r="I11" i="19" s="1"/>
  <c r="J7" i="16" s="1"/>
  <c r="X5" i="19"/>
  <c r="Z32" i="19" l="1"/>
  <c r="K32" i="19"/>
  <c r="I35" i="19"/>
  <c r="J29" i="19"/>
  <c r="J23" i="19"/>
  <c r="K17" i="19"/>
  <c r="Y5" i="19"/>
  <c r="X7" i="19"/>
  <c r="J6" i="19" s="1"/>
  <c r="J11" i="19" s="1"/>
  <c r="K7" i="16" s="1"/>
  <c r="K5" i="19"/>
  <c r="J35" i="19" l="1"/>
  <c r="K29" i="19"/>
  <c r="AA32" i="19"/>
  <c r="L32" i="19"/>
  <c r="L17" i="19"/>
  <c r="K23" i="19"/>
  <c r="L5" i="19"/>
  <c r="Z5" i="19"/>
  <c r="Z7" i="19" s="1"/>
  <c r="Y7" i="19"/>
  <c r="K6" i="19" s="1"/>
  <c r="K11" i="19" s="1"/>
  <c r="L7" i="16" s="1"/>
  <c r="K35" i="19" l="1"/>
  <c r="L29" i="19"/>
  <c r="M32" i="19"/>
  <c r="L23" i="19"/>
  <c r="M17" i="19"/>
  <c r="M23" i="19" s="1"/>
  <c r="L6" i="19"/>
  <c r="M6" i="19" s="1"/>
  <c r="M5" i="19"/>
  <c r="L35" i="19" l="1"/>
  <c r="M29" i="19"/>
  <c r="M35" i="19" s="1"/>
  <c r="M11" i="19"/>
  <c r="N7" i="16" s="1"/>
  <c r="L11" i="19"/>
  <c r="M7" i="16" s="1"/>
  <c r="Q8" i="16" l="1"/>
  <c r="C37" i="16"/>
  <c r="D33" i="16"/>
  <c r="D30" i="16"/>
  <c r="I27" i="16"/>
  <c r="H27" i="16"/>
  <c r="G27" i="16"/>
  <c r="F27" i="16"/>
  <c r="E27" i="16"/>
  <c r="N25" i="16"/>
  <c r="N29" i="16" s="1"/>
  <c r="M25" i="16"/>
  <c r="M29" i="16" s="1"/>
  <c r="L25" i="16"/>
  <c r="L29" i="16" s="1"/>
  <c r="K25" i="16"/>
  <c r="K29" i="16" s="1"/>
  <c r="J25" i="16"/>
  <c r="J29" i="16" s="1"/>
  <c r="D23" i="16"/>
  <c r="I22" i="16"/>
  <c r="H22" i="16"/>
  <c r="G22" i="16"/>
  <c r="F22" i="16"/>
  <c r="D21" i="16"/>
  <c r="I20" i="16"/>
  <c r="H20" i="16"/>
  <c r="G20" i="16"/>
  <c r="F20" i="16"/>
  <c r="E20" i="16"/>
  <c r="D19" i="16"/>
  <c r="N18" i="16"/>
  <c r="M18" i="16"/>
  <c r="L18" i="16"/>
  <c r="K18" i="16"/>
  <c r="J18" i="16"/>
  <c r="I18" i="16"/>
  <c r="H18" i="16"/>
  <c r="G18" i="16"/>
  <c r="I13" i="16"/>
  <c r="H13" i="16"/>
  <c r="G13" i="16"/>
  <c r="D12" i="16"/>
  <c r="I11" i="16"/>
  <c r="H11" i="16"/>
  <c r="G11" i="16"/>
  <c r="F11" i="16"/>
  <c r="E11" i="16"/>
  <c r="D27" i="14"/>
  <c r="D26" i="14"/>
  <c r="D25" i="14"/>
  <c r="D24" i="14"/>
  <c r="C2" i="15"/>
  <c r="C3" i="15"/>
  <c r="C4" i="15"/>
  <c r="D10" i="14" s="1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D9" i="14"/>
  <c r="D18" i="14"/>
  <c r="D20" i="14" s="1"/>
  <c r="E3" i="13"/>
  <c r="M3" i="13"/>
  <c r="E4" i="13"/>
  <c r="I4" i="13" s="1"/>
  <c r="L4" i="13" s="1"/>
  <c r="N4" i="13" s="1"/>
  <c r="M4" i="13"/>
  <c r="C5" i="13"/>
  <c r="E5" i="13"/>
  <c r="I5" i="13"/>
  <c r="L5" i="13" s="1"/>
  <c r="N5" i="13" s="1"/>
  <c r="M5" i="13"/>
  <c r="E6" i="13"/>
  <c r="I6" i="13"/>
  <c r="L6" i="13"/>
  <c r="M6" i="13"/>
  <c r="N6" i="13"/>
  <c r="E7" i="13"/>
  <c r="I7" i="13" s="1"/>
  <c r="L7" i="13" s="1"/>
  <c r="N7" i="13" s="1"/>
  <c r="M7" i="13"/>
  <c r="E8" i="13"/>
  <c r="I8" i="13"/>
  <c r="L8" i="13"/>
  <c r="M8" i="13"/>
  <c r="N8" i="13"/>
  <c r="J9" i="13"/>
  <c r="E10" i="13"/>
  <c r="I10" i="13"/>
  <c r="F6" i="12"/>
  <c r="I6" i="12"/>
  <c r="K6" i="12"/>
  <c r="M6" i="12"/>
  <c r="O6" i="12"/>
  <c r="J20" i="12" s="1"/>
  <c r="F7" i="12"/>
  <c r="I7" i="12"/>
  <c r="D17" i="12" s="1"/>
  <c r="K7" i="12"/>
  <c r="E17" i="12" s="1"/>
  <c r="M7" i="12"/>
  <c r="F17" i="12" s="1"/>
  <c r="O7" i="12"/>
  <c r="G17" i="12" s="1"/>
  <c r="F8" i="12"/>
  <c r="I8" i="12"/>
  <c r="D18" i="12" s="1"/>
  <c r="K8" i="12"/>
  <c r="E18" i="12" s="1"/>
  <c r="M8" i="12"/>
  <c r="F18" i="12" s="1"/>
  <c r="O8" i="12"/>
  <c r="G18" i="12" s="1"/>
  <c r="E9" i="12"/>
  <c r="F9" i="12"/>
  <c r="I9" i="12"/>
  <c r="D19" i="12" s="1"/>
  <c r="K9" i="12"/>
  <c r="E19" i="12" s="1"/>
  <c r="M9" i="12"/>
  <c r="F19" i="12" s="1"/>
  <c r="O9" i="12"/>
  <c r="F10" i="12"/>
  <c r="I10" i="12"/>
  <c r="K10" i="12"/>
  <c r="M10" i="12"/>
  <c r="O10" i="12"/>
  <c r="F11" i="12"/>
  <c r="I11" i="12"/>
  <c r="D21" i="12" s="1"/>
  <c r="K11" i="12"/>
  <c r="E21" i="12" s="1"/>
  <c r="M11" i="12"/>
  <c r="F21" i="12" s="1"/>
  <c r="O11" i="12"/>
  <c r="G21" i="12" s="1"/>
  <c r="F12" i="12"/>
  <c r="I12" i="12"/>
  <c r="D22" i="12" s="1"/>
  <c r="K12" i="12"/>
  <c r="E22" i="12" s="1"/>
  <c r="M12" i="12"/>
  <c r="F22" i="12" s="1"/>
  <c r="O12" i="12"/>
  <c r="G22" i="12" s="1"/>
  <c r="F13" i="12"/>
  <c r="I13" i="12"/>
  <c r="K13" i="12"/>
  <c r="M13" i="12"/>
  <c r="O13" i="12"/>
  <c r="J18" i="12"/>
  <c r="G19" i="12"/>
  <c r="J19" i="12"/>
  <c r="D20" i="12"/>
  <c r="E20" i="12"/>
  <c r="F20" i="12"/>
  <c r="G20" i="12"/>
  <c r="D11" i="14" l="1"/>
  <c r="D28" i="14" s="1"/>
  <c r="N31" i="16"/>
  <c r="N35" i="16" s="1"/>
  <c r="M31" i="16"/>
  <c r="M35" i="16" s="1"/>
  <c r="M37" i="16" s="1"/>
  <c r="F15" i="16"/>
  <c r="G15" i="16" s="1"/>
  <c r="H15" i="16" s="1"/>
  <c r="I15" i="16" s="1"/>
  <c r="J31" i="16"/>
  <c r="J35" i="16" s="1"/>
  <c r="J37" i="16" s="1"/>
  <c r="K31" i="16"/>
  <c r="K35" i="16" s="1"/>
  <c r="K37" i="16" s="1"/>
  <c r="L31" i="16"/>
  <c r="L35" i="16" s="1"/>
  <c r="L37" i="16" s="1"/>
  <c r="E24" i="16"/>
  <c r="F24" i="16"/>
  <c r="G24" i="16"/>
  <c r="H24" i="16"/>
  <c r="I24" i="16"/>
  <c r="I9" i="13"/>
  <c r="G26" i="12"/>
  <c r="G44" i="12" s="1"/>
  <c r="G24" i="12"/>
  <c r="G42" i="12" s="1"/>
  <c r="G25" i="12"/>
  <c r="G43" i="12" s="1"/>
  <c r="G27" i="12"/>
  <c r="G45" i="12" s="1"/>
  <c r="F27" i="12"/>
  <c r="F33" i="12" s="1"/>
  <c r="F45" i="12" s="1"/>
  <c r="F25" i="12"/>
  <c r="F31" i="12" s="1"/>
  <c r="F43" i="12" s="1"/>
  <c r="F26" i="12"/>
  <c r="F32" i="12" s="1"/>
  <c r="F44" i="12" s="1"/>
  <c r="F24" i="12"/>
  <c r="E24" i="12"/>
  <c r="E30" i="12" s="1"/>
  <c r="E42" i="12" s="1"/>
  <c r="E25" i="12"/>
  <c r="E31" i="12" s="1"/>
  <c r="E43" i="12" s="1"/>
  <c r="E26" i="12"/>
  <c r="E32" i="12" s="1"/>
  <c r="E44" i="12" s="1"/>
  <c r="E27" i="12"/>
  <c r="E33" i="12" s="1"/>
  <c r="E45" i="12" s="1"/>
  <c r="D26" i="12"/>
  <c r="D32" i="12" s="1"/>
  <c r="D44" i="12" s="1"/>
  <c r="D27" i="12"/>
  <c r="D33" i="12" s="1"/>
  <c r="D45" i="12" s="1"/>
  <c r="D24" i="12"/>
  <c r="D42" i="12" s="1"/>
  <c r="D25" i="12"/>
  <c r="D31" i="12" s="1"/>
  <c r="D43" i="12" s="1"/>
  <c r="B38" i="21" l="1"/>
  <c r="B38" i="20"/>
  <c r="B38" i="16"/>
  <c r="N36" i="16" s="1"/>
  <c r="N37" i="16" l="1"/>
  <c r="N39" i="16"/>
  <c r="J39" i="16"/>
  <c r="E39" i="16"/>
  <c r="M39" i="16"/>
  <c r="L39" i="16"/>
  <c r="F39" i="16"/>
  <c r="G39" i="16"/>
  <c r="I39" i="16"/>
  <c r="K39" i="16"/>
  <c r="H39" i="16"/>
  <c r="L39" i="20"/>
  <c r="N39" i="20"/>
  <c r="E39" i="20"/>
  <c r="I39" i="20"/>
  <c r="H39" i="20"/>
  <c r="G39" i="20"/>
  <c r="F39" i="20"/>
  <c r="K39" i="20"/>
  <c r="M39" i="20"/>
  <c r="J39" i="20"/>
  <c r="N36" i="20"/>
  <c r="N37" i="20" s="1"/>
  <c r="B40" i="20" s="1"/>
  <c r="B44" i="20" s="1"/>
  <c r="B47" i="20" s="1"/>
  <c r="B48" i="20" s="1"/>
  <c r="K39" i="21"/>
  <c r="M39" i="21"/>
  <c r="E39" i="21"/>
  <c r="F39" i="21"/>
  <c r="G39" i="21"/>
  <c r="H39" i="21"/>
  <c r="I39" i="21"/>
  <c r="J39" i="21"/>
  <c r="N39" i="21"/>
  <c r="L39" i="21"/>
  <c r="N36" i="21"/>
  <c r="N37" i="21" s="1"/>
  <c r="D25" i="16"/>
  <c r="B40" i="21" l="1"/>
  <c r="B44" i="21" s="1"/>
  <c r="B47" i="21" s="1"/>
  <c r="B48" i="21" s="1"/>
  <c r="F16" i="16"/>
  <c r="E25" i="16"/>
  <c r="D26" i="16"/>
  <c r="D29" i="16"/>
  <c r="D35" i="16" s="1"/>
  <c r="D37" i="16" l="1"/>
  <c r="G16" i="16"/>
  <c r="F25" i="16"/>
  <c r="E26" i="16"/>
  <c r="E29" i="16"/>
  <c r="E31" i="16" s="1"/>
  <c r="E35" i="16" s="1"/>
  <c r="E37" i="16" s="1"/>
  <c r="F26" i="16" l="1"/>
  <c r="F29" i="16"/>
  <c r="F31" i="16" s="1"/>
  <c r="F35" i="16" s="1"/>
  <c r="H16" i="16"/>
  <c r="G25" i="16"/>
  <c r="F37" i="16" l="1"/>
  <c r="I16" i="16"/>
  <c r="I25" i="16" s="1"/>
  <c r="H25" i="16"/>
  <c r="G26" i="16"/>
  <c r="G29" i="16"/>
  <c r="G31" i="16" s="1"/>
  <c r="G35" i="16" s="1"/>
  <c r="G37" i="16" s="1"/>
  <c r="H26" i="16" l="1"/>
  <c r="H29" i="16"/>
  <c r="H31" i="16" s="1"/>
  <c r="H35" i="16" s="1"/>
  <c r="H37" i="16" s="1"/>
  <c r="I26" i="16"/>
  <c r="I29" i="16"/>
  <c r="I31" i="16" s="1"/>
  <c r="I35" i="16" s="1"/>
  <c r="I37" i="16" s="1"/>
  <c r="B40" i="16" l="1"/>
  <c r="B41" i="16"/>
  <c r="B45" i="16" s="1"/>
  <c r="B42" i="16" l="1"/>
  <c r="B53" i="16" s="1"/>
  <c r="B48" i="16"/>
  <c r="B49" i="16" s="1"/>
</calcChain>
</file>

<file path=xl/sharedStrings.xml><?xml version="1.0" encoding="utf-8"?>
<sst xmlns="http://schemas.openxmlformats.org/spreadsheetml/2006/main" count="517" uniqueCount="243">
  <si>
    <t>Revenue</t>
  </si>
  <si>
    <t>Gross Profit</t>
  </si>
  <si>
    <t>Reference Items</t>
  </si>
  <si>
    <t>In Millions of INR except Per Share</t>
  </si>
  <si>
    <t>FY 2022</t>
  </si>
  <si>
    <t>FY 2023</t>
  </si>
  <si>
    <t>FY 2024</t>
  </si>
  <si>
    <t>12 Months Ending</t>
  </si>
  <si>
    <t>03/31/2023</t>
  </si>
  <si>
    <t>03/31/2024</t>
  </si>
  <si>
    <t>Accounting Standard</t>
  </si>
  <si>
    <t>IN GAAP</t>
  </si>
  <si>
    <t>Source: Bloomberg</t>
  </si>
  <si>
    <t>—</t>
  </si>
  <si>
    <t xml:space="preserve">    + Sales &amp; Services Revenue</t>
  </si>
  <si>
    <t xml:space="preserve">  + Other Operating Income</t>
  </si>
  <si>
    <t xml:space="preserve">  - Operating Expenses</t>
  </si>
  <si>
    <t xml:space="preserve">    + Selling &amp; Marketing</t>
  </si>
  <si>
    <t xml:space="preserve">    + Research &amp; Development</t>
  </si>
  <si>
    <t xml:space="preserve">    + Depreciation &amp; Amortization</t>
  </si>
  <si>
    <t xml:space="preserve">    + Prov For Doubtful Accts</t>
  </si>
  <si>
    <t xml:space="preserve">    + Other Operating Expense</t>
  </si>
  <si>
    <t>Operating Income (Loss)</t>
  </si>
  <si>
    <t xml:space="preserve">  - Non-Operating (Income) Loss</t>
  </si>
  <si>
    <t>FY 2025</t>
  </si>
  <si>
    <t>FY 2027</t>
  </si>
  <si>
    <t>FY 2028</t>
  </si>
  <si>
    <t>FY 2031</t>
  </si>
  <si>
    <t>FY 2032</t>
  </si>
  <si>
    <t>FY 2033</t>
  </si>
  <si>
    <t>FY 2034</t>
  </si>
  <si>
    <t>Unamortised R&amp;D</t>
  </si>
  <si>
    <t>US</t>
  </si>
  <si>
    <t>India</t>
  </si>
  <si>
    <t>FY 2026</t>
  </si>
  <si>
    <t>FY 2029</t>
  </si>
  <si>
    <t xml:space="preserve">FY 2030 </t>
  </si>
  <si>
    <t>Amortised R&amp;D</t>
  </si>
  <si>
    <t>Adjusted op income (R&amp;D capitalized)</t>
  </si>
  <si>
    <t>Add: depn and ammortization</t>
  </si>
  <si>
    <t>Change in Net working capital</t>
  </si>
  <si>
    <t>Capex</t>
  </si>
  <si>
    <t>% capex of revenue</t>
  </si>
  <si>
    <t>FCFF</t>
  </si>
  <si>
    <t>post tax operating income</t>
  </si>
  <si>
    <t>effective tax rate</t>
  </si>
  <si>
    <t>marginal tax rate</t>
  </si>
  <si>
    <t>Rest of the world</t>
  </si>
  <si>
    <t>GDP growth</t>
  </si>
  <si>
    <t>stable growth rate</t>
  </si>
  <si>
    <t>3rd Quatrile</t>
  </si>
  <si>
    <t>1st Quartile</t>
  </si>
  <si>
    <t>Median</t>
  </si>
  <si>
    <t>Mean</t>
  </si>
  <si>
    <t>P/EPS (Forwarded)</t>
  </si>
  <si>
    <t>EV/EBITDA (TTM)</t>
  </si>
  <si>
    <t>EV/ Revenue(Forward)</t>
  </si>
  <si>
    <t>EV / Revenuem(TTM)</t>
  </si>
  <si>
    <t>Implied Shareprice of Sunpharma</t>
  </si>
  <si>
    <t>Total Debt</t>
  </si>
  <si>
    <t>Minority Interest</t>
  </si>
  <si>
    <t>Preferred Equity</t>
  </si>
  <si>
    <t>Cash &amp; Equivalents</t>
  </si>
  <si>
    <t>INR In Billions</t>
  </si>
  <si>
    <t>Sunpharma</t>
  </si>
  <si>
    <t>Implied Enterprise Value of Sunpharma</t>
  </si>
  <si>
    <t>Aurobindo Pharma</t>
  </si>
  <si>
    <t>Lupin</t>
  </si>
  <si>
    <t>Torrent Pharmaceuticals</t>
  </si>
  <si>
    <t>Dr. Reddy Laboratories</t>
  </si>
  <si>
    <t>Zydus Lifescience</t>
  </si>
  <si>
    <t>Cipla</t>
  </si>
  <si>
    <t>Multiples of  Sunpharma</t>
  </si>
  <si>
    <t xml:space="preserve">Valuation Multiple / growth </t>
  </si>
  <si>
    <t>Sr No.</t>
  </si>
  <si>
    <t>Glenmark Pharmaceuticals</t>
  </si>
  <si>
    <t>EPS (Expected Growth Rate)</t>
  </si>
  <si>
    <t>Forward EPS (Adjusted)</t>
  </si>
  <si>
    <t>EBITDA (5-Year CAGR)</t>
  </si>
  <si>
    <t>EBITDA TTM (In Billions)</t>
  </si>
  <si>
    <t>Revenue (Expected Growth  Rate)</t>
  </si>
  <si>
    <t>Revenue (1 Yr Forward)</t>
  </si>
  <si>
    <t>Revenue Growth (5 Year CAGR)</t>
  </si>
  <si>
    <t>Revenue TTM (In Billions)</t>
  </si>
  <si>
    <t>EV (Current In Billions))</t>
  </si>
  <si>
    <t>Market Cap (In Billions)</t>
  </si>
  <si>
    <t>No. Of Outstanding Shares (In Millions)</t>
  </si>
  <si>
    <t>Share Price (INR)</t>
  </si>
  <si>
    <t>Company</t>
  </si>
  <si>
    <t>Relative Valuation</t>
  </si>
  <si>
    <t>Sunpharma Fundamental Beta</t>
  </si>
  <si>
    <t>Average</t>
  </si>
  <si>
    <t>Estimating Unlevered beta for the Business</t>
  </si>
  <si>
    <t>Cash/Firm value</t>
  </si>
  <si>
    <t>Unlevered Beta for company</t>
  </si>
  <si>
    <t>Tax rate</t>
  </si>
  <si>
    <t>Beta</t>
  </si>
  <si>
    <t>Debt/Equity (D/E)</t>
  </si>
  <si>
    <t>Firm value (INR Billions)</t>
  </si>
  <si>
    <t>Cash &amp; Cash Eq (INR Billions).</t>
  </si>
  <si>
    <t>Total Debt (INR Billions)</t>
  </si>
  <si>
    <t>Market Cap (INR Billions)</t>
  </si>
  <si>
    <t>Current Share price</t>
  </si>
  <si>
    <t>No. of Shares Outstanding (INR Millions)</t>
  </si>
  <si>
    <t>COMPARABLES</t>
  </si>
  <si>
    <t>WACC</t>
  </si>
  <si>
    <t>After Tax Cost of Debt</t>
  </si>
  <si>
    <t>Tax Rate</t>
  </si>
  <si>
    <t>Cost of Debt</t>
  </si>
  <si>
    <t>Risk Free Rate</t>
  </si>
  <si>
    <t>Default Spread basis point as per rating</t>
  </si>
  <si>
    <t>AAA Stable</t>
  </si>
  <si>
    <t>Rating as per CRISIL</t>
  </si>
  <si>
    <t>Cost of Equity</t>
  </si>
  <si>
    <t>Historical Risk Free Rate</t>
  </si>
  <si>
    <t>Fundamental Beta</t>
  </si>
  <si>
    <t>Market Risk Premium</t>
  </si>
  <si>
    <t>Year 2000</t>
  </si>
  <si>
    <t>NIFTY 50</t>
  </si>
  <si>
    <t>Year 2024</t>
  </si>
  <si>
    <t>Risk Free Rate (Forward)</t>
  </si>
  <si>
    <t>Cost Of Equity</t>
  </si>
  <si>
    <t>Risk Free Rate Historical</t>
  </si>
  <si>
    <t>(1+ytm)</t>
  </si>
  <si>
    <t>Yield Rate (%)</t>
  </si>
  <si>
    <t>Date</t>
  </si>
  <si>
    <t>Equity (Market Cap)</t>
  </si>
  <si>
    <t>Debt  / (Debt +Equity)</t>
  </si>
  <si>
    <t>Equity / (Debt+Equity)</t>
  </si>
  <si>
    <t>Discounted Cashflow</t>
  </si>
  <si>
    <t xml:space="preserve">In Millions of INR </t>
  </si>
  <si>
    <t>Discount Factor</t>
  </si>
  <si>
    <t>-</t>
  </si>
  <si>
    <t>Terminal Value</t>
  </si>
  <si>
    <t>Cash Flows</t>
  </si>
  <si>
    <t>Enterprice Value</t>
  </si>
  <si>
    <t>In Rs Mn</t>
  </si>
  <si>
    <t>2025*</t>
  </si>
  <si>
    <t>2026*</t>
  </si>
  <si>
    <t>2027*</t>
  </si>
  <si>
    <t>2028*</t>
  </si>
  <si>
    <t>2029*</t>
  </si>
  <si>
    <t>2030*</t>
  </si>
  <si>
    <t>2031*</t>
  </si>
  <si>
    <t>2032*</t>
  </si>
  <si>
    <t>2033*</t>
  </si>
  <si>
    <t>2034*</t>
  </si>
  <si>
    <t>U.S. Speciality</t>
  </si>
  <si>
    <t>ANDA Growth</t>
  </si>
  <si>
    <t>U.S. Generics</t>
  </si>
  <si>
    <t>NA Pharma Industry Growth</t>
  </si>
  <si>
    <t>India Business</t>
  </si>
  <si>
    <t>Best Case - US Generics Growth</t>
  </si>
  <si>
    <t>Emerging Markets</t>
  </si>
  <si>
    <t>Emerging Market</t>
  </si>
  <si>
    <t>Rest Of World</t>
  </si>
  <si>
    <t>API and others</t>
  </si>
  <si>
    <t>Total (Operations)</t>
  </si>
  <si>
    <t>Best Case</t>
  </si>
  <si>
    <t>Worst Case</t>
  </si>
  <si>
    <t>Worst Case - US Generics Growth</t>
  </si>
  <si>
    <t>Base Case</t>
  </si>
  <si>
    <t>Base Case - US Generics Growth</t>
  </si>
  <si>
    <t>US Speciality</t>
  </si>
  <si>
    <t>Less: BV of debt</t>
  </si>
  <si>
    <t>Value of equity</t>
  </si>
  <si>
    <t>total no. of shares</t>
  </si>
  <si>
    <t>Add:Cash</t>
  </si>
  <si>
    <t>Add: Cash</t>
  </si>
  <si>
    <t>No. of shares</t>
  </si>
  <si>
    <t>no. of shares</t>
  </si>
  <si>
    <t>best case</t>
  </si>
  <si>
    <t>worst case</t>
  </si>
  <si>
    <t>base case</t>
  </si>
  <si>
    <t>Current Share Price</t>
  </si>
  <si>
    <t>Implied Share Price</t>
  </si>
  <si>
    <t>Undervalued (EV/EBITDA long term)</t>
  </si>
  <si>
    <t>Overvalued (P/EPS short term)</t>
  </si>
  <si>
    <t>For Pharma EV/EBITDA &amp; P/EPS are important Ratios</t>
  </si>
  <si>
    <t>Undervalue</t>
  </si>
  <si>
    <t>Fair Valuation</t>
  </si>
  <si>
    <t>UnderValued</t>
  </si>
  <si>
    <t xml:space="preserve">    + Interest Expense, Net</t>
  </si>
  <si>
    <t xml:space="preserve">    + Interest Expense</t>
  </si>
  <si>
    <t xml:space="preserve">    - Interest Income</t>
  </si>
  <si>
    <t xml:space="preserve">    + Other Investment (Inc) Loss</t>
  </si>
  <si>
    <t xml:space="preserve">    + Foreign Exch (Gain) Loss</t>
  </si>
  <si>
    <t xml:space="preserve">    + (Income) Loss from Affiliates</t>
  </si>
  <si>
    <t xml:space="preserve">    + Other Non-Op (Income) Loss</t>
  </si>
  <si>
    <t>Pretax Income (Loss), Adjusted</t>
  </si>
  <si>
    <t xml:space="preserve">  - Abnormal Losses (Gains)</t>
  </si>
  <si>
    <t xml:space="preserve">    + Disposal of Assets</t>
  </si>
  <si>
    <t xml:space="preserve">    + Asset Write-Down</t>
  </si>
  <si>
    <t xml:space="preserve">    + Impairment of Goodwill</t>
  </si>
  <si>
    <t xml:space="preserve">    + Legal Settlement</t>
  </si>
  <si>
    <t xml:space="preserve">    + Restructuring</t>
  </si>
  <si>
    <t xml:space="preserve">    + Sale of Investments</t>
  </si>
  <si>
    <t xml:space="preserve">    + Unrealized Investments</t>
  </si>
  <si>
    <t>Pretax Income (Loss), GAAP</t>
  </si>
  <si>
    <t xml:space="preserve">  - Income Tax Expense (Benefit)</t>
  </si>
  <si>
    <t xml:space="preserve">    + Current Income Tax</t>
  </si>
  <si>
    <t xml:space="preserve">    + Deferred Income Tax</t>
  </si>
  <si>
    <t xml:space="preserve">  - (Income) Loss from Affiliates</t>
  </si>
  <si>
    <t>Income (Loss) from Cont Ops</t>
  </si>
  <si>
    <t xml:space="preserve">  - Net Extraordinary Losses (Gains)</t>
  </si>
  <si>
    <t xml:space="preserve">    + Discontinued Operations</t>
  </si>
  <si>
    <t xml:space="preserve">    + XO &amp; Accounting Changes</t>
  </si>
  <si>
    <t>Income (Loss) Incl. MI</t>
  </si>
  <si>
    <t xml:space="preserve">  - Minority Interest</t>
  </si>
  <si>
    <t>Net Income, GAAP</t>
  </si>
  <si>
    <t xml:space="preserve">  - Preferred Dividends</t>
  </si>
  <si>
    <t xml:space="preserve">  - Other Adjustments</t>
  </si>
  <si>
    <t>Net Income Avail to Common, GAAP</t>
  </si>
  <si>
    <t>Net Income Avail to Common, Adj</t>
  </si>
  <si>
    <t xml:space="preserve">  Net Abnormal Losses (Gains)</t>
  </si>
  <si>
    <t xml:space="preserve">  Net Extraordinary Losses (Gains)</t>
  </si>
  <si>
    <t>Basic Weighted Avg Shares</t>
  </si>
  <si>
    <t>Basic EPS, GAAP</t>
  </si>
  <si>
    <t>Basic EPS from Cont Ops, GAAP</t>
  </si>
  <si>
    <t>Basic EPS from Cont Ops, Adjusted</t>
  </si>
  <si>
    <t>Diluted Weighted Avg Shares</t>
  </si>
  <si>
    <t>Diluted EPS, GAAP</t>
  </si>
  <si>
    <t>Diluted EPS from Cont Ops, GAAP</t>
  </si>
  <si>
    <t>Diluted EPS from Cont Ops, Adjusted</t>
  </si>
  <si>
    <t>EBITDA</t>
  </si>
  <si>
    <t>EBITDA Margin (T12M)</t>
  </si>
  <si>
    <t>EBITA</t>
  </si>
  <si>
    <t>EBIT</t>
  </si>
  <si>
    <t>Gross Margin</t>
  </si>
  <si>
    <t>Operating Margin</t>
  </si>
  <si>
    <t>Profit Margin</t>
  </si>
  <si>
    <t>Current Profit</t>
  </si>
  <si>
    <t>Sales per Employee</t>
  </si>
  <si>
    <t>Dividends per Share</t>
  </si>
  <si>
    <t>Total Cash Common Dividends</t>
  </si>
  <si>
    <t>Personnel Expenses</t>
  </si>
  <si>
    <t>Depreciation Expense</t>
  </si>
  <si>
    <t>Rental Expense</t>
  </si>
  <si>
    <t>Implied share Price</t>
  </si>
  <si>
    <t>Sensitivty Analysis</t>
  </si>
  <si>
    <t>Terminal Growth rate</t>
  </si>
  <si>
    <t>EV without TV</t>
  </si>
  <si>
    <t>Implied Share Price_2nd_Method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</si>
</sst>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0.00000%"/>
    <numFmt numFmtId="165" formatCode="0.000"/>
    <numFmt numFmtId="166" formatCode="_(* #,##0.00_);_(* \(#,##0.00\);_(* &quot;-&quot;??_);_(@_)"/>
    <numFmt numFmtId="167" formatCode="_(* #,##0.00000_);_(* \(#,##0.00000\);_(* &quot;-&quot;??_);_(@_)"/>
    <numFmt numFmtId="168" formatCode="0.0000"/>
    <numFmt numFmtId="169" formatCode="&quot;₹&quot;#,##0.00_);[Red]\(&quot;₹&quot;#,##0.00\)"/>
    <numFmt numFmtId="170" formatCode="_ [$₹-4009]\ * #,##0.00_ ;_ [$₹-4009]\ * \-#,##0.00_ ;_ [$₹-4009]\ * &quot;-&quot;??_ ;_ @_ "/>
  </numFmts>
  <fonts count="2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rgb="FF040C28"/>
      <name val="Arial"/>
      <family val="2"/>
    </font>
    <font>
      <b/>
      <sz val="14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7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5" applyNumberFormat="0" applyAlignment="0" applyProtection="0"/>
    <xf numFmtId="0" fontId="15" fillId="7" borderId="8" applyNumberFormat="0" applyAlignment="0" applyProtection="0"/>
    <xf numFmtId="0" fontId="17" fillId="0" borderId="0" applyNumberFormat="0" applyFill="0" applyBorder="0" applyAlignment="0" applyProtection="0"/>
    <xf numFmtId="0" fontId="2" fillId="33" borderId="1">
      <alignment horizontal="right"/>
    </xf>
    <xf numFmtId="0" fontId="8" fillId="2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5" applyNumberFormat="0" applyAlignment="0" applyProtection="0"/>
    <xf numFmtId="0" fontId="14" fillId="0" borderId="7" applyNumberFormat="0" applyFill="0" applyAlignment="0" applyProtection="0"/>
    <xf numFmtId="0" fontId="10" fillId="4" borderId="0" applyNumberFormat="0" applyBorder="0" applyAlignment="0" applyProtection="0"/>
    <xf numFmtId="0" fontId="3" fillId="8" borderId="9" applyNumberFormat="0" applyFont="0" applyAlignment="0" applyProtection="0"/>
    <xf numFmtId="0" fontId="12" fillId="6" borderId="6" applyNumberFormat="0" applyAlignment="0" applyProtection="0"/>
    <xf numFmtId="0" fontId="4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6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78">
    <xf numFmtId="0" fontId="0" fillId="0" borderId="0" xfId="0"/>
    <xf numFmtId="10" fontId="0" fillId="0" borderId="0" xfId="44" applyNumberFormat="1" applyFont="1"/>
    <xf numFmtId="0" fontId="18" fillId="0" borderId="0" xfId="0" applyFont="1"/>
    <xf numFmtId="9" fontId="0" fillId="0" borderId="0" xfId="44" applyFont="1"/>
    <xf numFmtId="9" fontId="0" fillId="0" borderId="0" xfId="0" applyNumberFormat="1"/>
    <xf numFmtId="10" fontId="0" fillId="0" borderId="0" xfId="0" applyNumberFormat="1"/>
    <xf numFmtId="0" fontId="0" fillId="34" borderId="0" xfId="0" applyFill="1"/>
    <xf numFmtId="0" fontId="0" fillId="35" borderId="0" xfId="0" applyFill="1"/>
    <xf numFmtId="0" fontId="0" fillId="0" borderId="0" xfId="44" applyNumberFormat="1" applyFont="1"/>
    <xf numFmtId="9" fontId="0" fillId="0" borderId="0" xfId="44" applyFont="1" applyFill="1"/>
    <xf numFmtId="10" fontId="0" fillId="0" borderId="0" xfId="44" applyNumberFormat="1" applyFont="1" applyFill="1"/>
    <xf numFmtId="0" fontId="0" fillId="35" borderId="0" xfId="44" applyNumberFormat="1" applyFont="1" applyFill="1"/>
    <xf numFmtId="164" fontId="0" fillId="0" borderId="0" xfId="0" applyNumberFormat="1"/>
    <xf numFmtId="2" fontId="0" fillId="0" borderId="0" xfId="0" applyNumberFormat="1"/>
    <xf numFmtId="2" fontId="0" fillId="0" borderId="11" xfId="0" applyNumberFormat="1" applyBorder="1"/>
    <xf numFmtId="2" fontId="20" fillId="0" borderId="0" xfId="0" applyNumberFormat="1" applyFont="1"/>
    <xf numFmtId="1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65" fontId="18" fillId="0" borderId="0" xfId="0" applyNumberFormat="1" applyFont="1"/>
    <xf numFmtId="10" fontId="18" fillId="0" borderId="0" xfId="44" applyNumberFormat="1" applyFont="1" applyFill="1" applyBorder="1" applyAlignment="1">
      <alignment horizontal="center"/>
    </xf>
    <xf numFmtId="165" fontId="18" fillId="0" borderId="0" xfId="0" applyNumberFormat="1" applyFont="1" applyAlignment="1">
      <alignment horizontal="center"/>
    </xf>
    <xf numFmtId="10" fontId="21" fillId="0" borderId="0" xfId="44" applyNumberFormat="1" applyFont="1" applyFill="1" applyBorder="1" applyAlignment="1">
      <alignment horizontal="center"/>
    </xf>
    <xf numFmtId="166" fontId="21" fillId="0" borderId="0" xfId="46" applyFont="1" applyFill="1" applyBorder="1" applyAlignment="1">
      <alignment horizontal="center"/>
    </xf>
    <xf numFmtId="166" fontId="18" fillId="0" borderId="0" xfId="46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10" fontId="22" fillId="0" borderId="0" xfId="44" applyNumberFormat="1" applyFont="1" applyFill="1" applyBorder="1" applyAlignment="1">
      <alignment horizontal="center"/>
    </xf>
    <xf numFmtId="166" fontId="22" fillId="0" borderId="0" xfId="46" applyFont="1" applyFill="1" applyBorder="1" applyAlignment="1">
      <alignment horizontal="center"/>
    </xf>
    <xf numFmtId="166" fontId="3" fillId="0" borderId="0" xfId="46" applyFont="1" applyFill="1" applyBorder="1" applyAlignment="1">
      <alignment horizontal="center"/>
    </xf>
    <xf numFmtId="0" fontId="23" fillId="0" borderId="0" xfId="0" applyFont="1" applyAlignment="1">
      <alignment horizontal="left"/>
    </xf>
    <xf numFmtId="165" fontId="0" fillId="0" borderId="0" xfId="0" applyNumberFormat="1"/>
    <xf numFmtId="10" fontId="3" fillId="0" borderId="0" xfId="44" applyNumberFormat="1" applyFont="1" applyFill="1" applyBorder="1" applyAlignment="1">
      <alignment horizontal="center"/>
    </xf>
    <xf numFmtId="167" fontId="3" fillId="0" borderId="0" xfId="46" applyNumberFormat="1" applyFont="1" applyFill="1" applyBorder="1" applyAlignment="1">
      <alignment horizontal="center"/>
    </xf>
    <xf numFmtId="0" fontId="18" fillId="36" borderId="11" xfId="0" applyFont="1" applyFill="1" applyBorder="1" applyAlignment="1">
      <alignment horizontal="center" wrapText="1"/>
    </xf>
    <xf numFmtId="0" fontId="18" fillId="36" borderId="11" xfId="0" applyFont="1" applyFill="1" applyBorder="1" applyAlignment="1">
      <alignment horizontal="left"/>
    </xf>
    <xf numFmtId="0" fontId="20" fillId="0" borderId="0" xfId="0" applyFont="1"/>
    <xf numFmtId="10" fontId="0" fillId="0" borderId="0" xfId="45" applyNumberFormat="1" applyFont="1"/>
    <xf numFmtId="0" fontId="24" fillId="0" borderId="0" xfId="0" applyFont="1"/>
    <xf numFmtId="14" fontId="0" fillId="0" borderId="0" xfId="0" applyNumberFormat="1"/>
    <xf numFmtId="10" fontId="0" fillId="34" borderId="0" xfId="44" applyNumberFormat="1" applyFont="1" applyFill="1"/>
    <xf numFmtId="168" fontId="0" fillId="0" borderId="0" xfId="0" applyNumberFormat="1"/>
    <xf numFmtId="0" fontId="0" fillId="0" borderId="0" xfId="44" applyNumberFormat="1" applyFont="1" applyFill="1"/>
    <xf numFmtId="0" fontId="25" fillId="34" borderId="0" xfId="0" applyFont="1" applyFill="1"/>
    <xf numFmtId="0" fontId="15" fillId="38" borderId="11" xfId="0" applyFont="1" applyFill="1" applyBorder="1"/>
    <xf numFmtId="0" fontId="15" fillId="38" borderId="11" xfId="0" applyFont="1" applyFill="1" applyBorder="1" applyAlignment="1">
      <alignment horizontal="right"/>
    </xf>
    <xf numFmtId="0" fontId="15" fillId="38" borderId="11" xfId="0" applyFont="1" applyFill="1" applyBorder="1" applyAlignment="1">
      <alignment horizontal="left"/>
    </xf>
    <xf numFmtId="1" fontId="0" fillId="39" borderId="11" xfId="0" applyNumberFormat="1" applyFill="1" applyBorder="1"/>
    <xf numFmtId="1" fontId="0" fillId="40" borderId="11" xfId="0" applyNumberFormat="1" applyFill="1" applyBorder="1"/>
    <xf numFmtId="10" fontId="0" fillId="0" borderId="11" xfId="44" applyNumberFormat="1" applyFont="1" applyBorder="1"/>
    <xf numFmtId="10" fontId="0" fillId="0" borderId="11" xfId="0" applyNumberFormat="1" applyBorder="1"/>
    <xf numFmtId="10" fontId="0" fillId="0" borderId="11" xfId="44" applyNumberFormat="1" applyFont="1" applyFill="1" applyBorder="1"/>
    <xf numFmtId="4" fontId="0" fillId="0" borderId="0" xfId="0" applyNumberFormat="1"/>
    <xf numFmtId="0" fontId="15" fillId="37" borderId="11" xfId="0" applyFont="1" applyFill="1" applyBorder="1"/>
    <xf numFmtId="0" fontId="15" fillId="37" borderId="11" xfId="0" applyFont="1" applyFill="1" applyBorder="1" applyAlignment="1">
      <alignment horizontal="right"/>
    </xf>
    <xf numFmtId="0" fontId="0" fillId="0" borderId="11" xfId="0" applyBorder="1"/>
    <xf numFmtId="3" fontId="27" fillId="0" borderId="0" xfId="0" applyNumberFormat="1" applyFont="1"/>
    <xf numFmtId="2" fontId="0" fillId="41" borderId="11" xfId="0" applyNumberFormat="1" applyFill="1" applyBorder="1"/>
    <xf numFmtId="10" fontId="0" fillId="41" borderId="11" xfId="44" applyNumberFormat="1" applyFont="1" applyFill="1" applyBorder="1"/>
    <xf numFmtId="0" fontId="18" fillId="41" borderId="0" xfId="0" applyFont="1" applyFill="1"/>
    <xf numFmtId="0" fontId="0" fillId="41" borderId="0" xfId="0" applyFill="1"/>
    <xf numFmtId="10" fontId="0" fillId="41" borderId="0" xfId="44" applyNumberFormat="1" applyFont="1" applyFill="1"/>
    <xf numFmtId="43" fontId="0" fillId="41" borderId="0" xfId="45" applyFont="1" applyFill="1"/>
    <xf numFmtId="166" fontId="18" fillId="41" borderId="0" xfId="46" applyFont="1" applyFill="1" applyBorder="1" applyAlignment="1">
      <alignment horizontal="center"/>
    </xf>
    <xf numFmtId="0" fontId="28" fillId="0" borderId="0" xfId="0" applyFont="1"/>
    <xf numFmtId="169" fontId="0" fillId="0" borderId="0" xfId="0" applyNumberFormat="1"/>
    <xf numFmtId="0" fontId="0" fillId="42" borderId="0" xfId="0" applyFill="1"/>
    <xf numFmtId="170" fontId="0" fillId="0" borderId="0" xfId="0" applyNumberFormat="1"/>
    <xf numFmtId="10" fontId="18" fillId="43" borderId="0" xfId="0" applyNumberFormat="1" applyFont="1" applyFill="1"/>
    <xf numFmtId="9" fontId="18" fillId="43" borderId="0" xfId="0" applyNumberFormat="1" applyFont="1" applyFill="1"/>
    <xf numFmtId="0" fontId="18" fillId="0" borderId="12" xfId="0" applyFont="1" applyBorder="1" applyAlignment="1">
      <alignment horizontal="center" vertical="center" textRotation="255"/>
    </xf>
    <xf numFmtId="0" fontId="18" fillId="0" borderId="13" xfId="0" applyFont="1" applyBorder="1" applyAlignment="1">
      <alignment horizontal="center" vertical="center" textRotation="255"/>
    </xf>
    <xf numFmtId="0" fontId="18" fillId="0" borderId="1" xfId="0" applyFont="1" applyBorder="1" applyAlignment="1">
      <alignment horizontal="center" vertical="center" textRotation="255"/>
    </xf>
    <xf numFmtId="0" fontId="18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Comma" xfId="45" builtinId="3"/>
    <cellStyle name="Comma 2" xfId="46" xr:uid="{CAF44386-1F3A-4B4A-ADC4-5334BA30B2E9}"/>
    <cellStyle name="Explanatory Text" xfId="29" builtinId="53" customBuiltin="1"/>
    <cellStyle name="fa_column_header_bottom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Percent" xfId="44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1" defaultTableStyle="TableStyleMedium2" defaultPivotStyle="PivotStyleLight16">
    <tableStyle name="Invisible" pivot="0" table="0" count="0" xr9:uid="{9746D01A-1F92-4EF2-ACD0-C0CF038E7D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19C8-D023-4B84-A64B-55F3F9388751}">
  <dimension ref="A1:C78"/>
  <sheetViews>
    <sheetView workbookViewId="0">
      <selection activeCell="D23" sqref="D23"/>
    </sheetView>
  </sheetViews>
  <sheetFormatPr defaultRowHeight="14.5" x14ac:dyDescent="0.35"/>
  <cols>
    <col min="1" max="1" width="33.1796875" bestFit="1" customWidth="1"/>
    <col min="2" max="3" width="12" bestFit="1" customWidth="1"/>
  </cols>
  <sheetData>
    <row r="1" spans="1:3" x14ac:dyDescent="0.35">
      <c r="A1" t="s">
        <v>3</v>
      </c>
      <c r="B1" t="s">
        <v>5</v>
      </c>
      <c r="C1" t="s">
        <v>6</v>
      </c>
    </row>
    <row r="2" spans="1:3" x14ac:dyDescent="0.35">
      <c r="A2" t="s">
        <v>7</v>
      </c>
      <c r="B2" t="s">
        <v>8</v>
      </c>
      <c r="C2" t="s">
        <v>9</v>
      </c>
    </row>
    <row r="3" spans="1:3" x14ac:dyDescent="0.35">
      <c r="A3" t="s">
        <v>0</v>
      </c>
      <c r="B3">
        <v>432788.7</v>
      </c>
      <c r="C3">
        <v>477584.5</v>
      </c>
    </row>
    <row r="5" spans="1:3" x14ac:dyDescent="0.35">
      <c r="A5" t="s">
        <v>14</v>
      </c>
      <c r="B5">
        <v>432788.7</v>
      </c>
      <c r="C5">
        <v>477584.5</v>
      </c>
    </row>
    <row r="6" spans="1:3" x14ac:dyDescent="0.35">
      <c r="A6" t="s">
        <v>1</v>
      </c>
      <c r="B6" t="s">
        <v>13</v>
      </c>
      <c r="C6" t="s">
        <v>13</v>
      </c>
    </row>
    <row r="7" spans="1:3" x14ac:dyDescent="0.35">
      <c r="A7" t="s">
        <v>15</v>
      </c>
      <c r="B7">
        <v>6068.1</v>
      </c>
      <c r="C7">
        <v>7384</v>
      </c>
    </row>
    <row r="8" spans="1:3" x14ac:dyDescent="0.35">
      <c r="A8" t="s">
        <v>16</v>
      </c>
      <c r="B8">
        <v>344470.2</v>
      </c>
      <c r="C8">
        <v>378009.5</v>
      </c>
    </row>
    <row r="9" spans="1:3" x14ac:dyDescent="0.35">
      <c r="A9" t="s">
        <v>17</v>
      </c>
      <c r="B9">
        <v>42921.8</v>
      </c>
      <c r="C9">
        <v>49677.9</v>
      </c>
    </row>
    <row r="10" spans="1:3" x14ac:dyDescent="0.35">
      <c r="A10" t="s">
        <v>18</v>
      </c>
      <c r="B10">
        <v>22856.2</v>
      </c>
      <c r="C10">
        <v>30923.7</v>
      </c>
    </row>
    <row r="11" spans="1:3" x14ac:dyDescent="0.35">
      <c r="A11" t="s">
        <v>19</v>
      </c>
      <c r="B11">
        <v>25294.3</v>
      </c>
      <c r="C11">
        <v>25566.400000000001</v>
      </c>
    </row>
    <row r="12" spans="1:3" x14ac:dyDescent="0.35">
      <c r="A12" t="s">
        <v>20</v>
      </c>
      <c r="B12">
        <v>426.2</v>
      </c>
      <c r="C12">
        <v>905.9</v>
      </c>
    </row>
    <row r="13" spans="1:3" x14ac:dyDescent="0.35">
      <c r="A13" t="s">
        <v>21</v>
      </c>
      <c r="B13">
        <v>252971.7</v>
      </c>
      <c r="C13">
        <v>270935.59999999998</v>
      </c>
    </row>
    <row r="14" spans="1:3" x14ac:dyDescent="0.35">
      <c r="A14" t="s">
        <v>22</v>
      </c>
      <c r="B14">
        <v>94386.6</v>
      </c>
      <c r="C14">
        <v>106959</v>
      </c>
    </row>
    <row r="15" spans="1:3" x14ac:dyDescent="0.35">
      <c r="A15" t="s">
        <v>23</v>
      </c>
      <c r="B15">
        <v>-1645.5</v>
      </c>
      <c r="C15">
        <v>-10388.6</v>
      </c>
    </row>
    <row r="16" spans="1:3" x14ac:dyDescent="0.35">
      <c r="A16" t="s">
        <v>182</v>
      </c>
      <c r="B16">
        <v>430.5</v>
      </c>
      <c r="C16">
        <v>-624.79999999999995</v>
      </c>
    </row>
    <row r="17" spans="1:3" x14ac:dyDescent="0.35">
      <c r="A17" t="s">
        <v>183</v>
      </c>
      <c r="B17">
        <v>1720</v>
      </c>
      <c r="C17">
        <v>2384.6999999999998</v>
      </c>
    </row>
    <row r="18" spans="1:3" x14ac:dyDescent="0.35">
      <c r="A18" t="s">
        <v>184</v>
      </c>
      <c r="B18">
        <v>1289.5</v>
      </c>
      <c r="C18">
        <v>3009.5</v>
      </c>
    </row>
    <row r="19" spans="1:3" x14ac:dyDescent="0.35">
      <c r="A19" t="s">
        <v>185</v>
      </c>
      <c r="B19">
        <v>-3264.9</v>
      </c>
      <c r="C19">
        <v>-4514.1000000000004</v>
      </c>
    </row>
    <row r="20" spans="1:3" x14ac:dyDescent="0.35">
      <c r="A20" t="s">
        <v>186</v>
      </c>
      <c r="B20">
        <v>1261</v>
      </c>
      <c r="C20">
        <v>-361.3</v>
      </c>
    </row>
    <row r="21" spans="1:3" x14ac:dyDescent="0.35">
      <c r="A21" t="s">
        <v>187</v>
      </c>
      <c r="B21" t="s">
        <v>13</v>
      </c>
      <c r="C21" t="s">
        <v>13</v>
      </c>
    </row>
    <row r="22" spans="1:3" x14ac:dyDescent="0.35">
      <c r="A22" t="s">
        <v>188</v>
      </c>
      <c r="B22">
        <v>-72.099999999999994</v>
      </c>
      <c r="C22">
        <v>-4888.3999999999996</v>
      </c>
    </row>
    <row r="23" spans="1:3" x14ac:dyDescent="0.35">
      <c r="A23" t="s">
        <v>189</v>
      </c>
      <c r="B23">
        <v>96032.1</v>
      </c>
      <c r="C23">
        <v>117347.6</v>
      </c>
    </row>
    <row r="24" spans="1:3" x14ac:dyDescent="0.35">
      <c r="A24" t="s">
        <v>190</v>
      </c>
      <c r="B24">
        <v>1947.8</v>
      </c>
      <c r="C24">
        <v>6468.7</v>
      </c>
    </row>
    <row r="25" spans="1:3" x14ac:dyDescent="0.35">
      <c r="A25" t="s">
        <v>191</v>
      </c>
      <c r="B25">
        <v>-75.400000000000006</v>
      </c>
      <c r="C25">
        <v>99.7</v>
      </c>
    </row>
    <row r="26" spans="1:3" x14ac:dyDescent="0.35">
      <c r="A26" t="s">
        <v>192</v>
      </c>
      <c r="B26">
        <v>302.5</v>
      </c>
      <c r="C26">
        <v>70.5</v>
      </c>
    </row>
    <row r="27" spans="1:3" x14ac:dyDescent="0.35">
      <c r="A27" t="s">
        <v>193</v>
      </c>
      <c r="B27" t="s">
        <v>13</v>
      </c>
      <c r="C27" t="s">
        <v>13</v>
      </c>
    </row>
    <row r="28" spans="1:3" x14ac:dyDescent="0.35">
      <c r="A28" t="s">
        <v>194</v>
      </c>
      <c r="B28">
        <v>2278</v>
      </c>
      <c r="C28">
        <v>5175.3</v>
      </c>
    </row>
    <row r="29" spans="1:3" x14ac:dyDescent="0.35">
      <c r="A29" t="s">
        <v>195</v>
      </c>
      <c r="B29">
        <v>-563.5</v>
      </c>
      <c r="C29">
        <v>-232.1</v>
      </c>
    </row>
    <row r="30" spans="1:3" x14ac:dyDescent="0.35">
      <c r="A30" t="s">
        <v>196</v>
      </c>
      <c r="B30">
        <v>-1606.8</v>
      </c>
      <c r="C30">
        <v>-3199.1</v>
      </c>
    </row>
    <row r="31" spans="1:3" x14ac:dyDescent="0.35">
      <c r="A31" t="s">
        <v>197</v>
      </c>
      <c r="B31">
        <v>1613</v>
      </c>
      <c r="C31">
        <v>4554.3999999999996</v>
      </c>
    </row>
    <row r="32" spans="1:3" x14ac:dyDescent="0.35">
      <c r="A32" t="s">
        <v>198</v>
      </c>
      <c r="B32">
        <v>94084.3</v>
      </c>
      <c r="C32">
        <v>110878.9</v>
      </c>
    </row>
    <row r="33" spans="1:3" x14ac:dyDescent="0.35">
      <c r="A33" t="s">
        <v>199</v>
      </c>
      <c r="B33">
        <v>8475.9</v>
      </c>
      <c r="C33">
        <v>14394.5</v>
      </c>
    </row>
    <row r="34" spans="1:3" x14ac:dyDescent="0.35">
      <c r="A34" t="s">
        <v>200</v>
      </c>
      <c r="B34">
        <v>18692.2</v>
      </c>
      <c r="C34">
        <v>19893</v>
      </c>
    </row>
    <row r="35" spans="1:3" x14ac:dyDescent="0.35">
      <c r="A35" t="s">
        <v>201</v>
      </c>
      <c r="B35">
        <v>-10216.299999999999</v>
      </c>
      <c r="C35">
        <v>-5498.5</v>
      </c>
    </row>
    <row r="36" spans="1:3" x14ac:dyDescent="0.35">
      <c r="A36" t="s">
        <v>202</v>
      </c>
      <c r="B36">
        <v>479</v>
      </c>
      <c r="C36">
        <v>384.1</v>
      </c>
    </row>
    <row r="37" spans="1:3" x14ac:dyDescent="0.35">
      <c r="A37" t="s">
        <v>203</v>
      </c>
      <c r="B37">
        <v>85129.4</v>
      </c>
      <c r="C37">
        <v>96100.3</v>
      </c>
    </row>
    <row r="38" spans="1:3" x14ac:dyDescent="0.35">
      <c r="A38" t="s">
        <v>204</v>
      </c>
      <c r="B38">
        <v>0</v>
      </c>
      <c r="C38">
        <v>0</v>
      </c>
    </row>
    <row r="39" spans="1:3" x14ac:dyDescent="0.35">
      <c r="A39" t="s">
        <v>205</v>
      </c>
      <c r="B39">
        <v>0</v>
      </c>
      <c r="C39">
        <v>0</v>
      </c>
    </row>
    <row r="40" spans="1:3" x14ac:dyDescent="0.35">
      <c r="A40" t="s">
        <v>206</v>
      </c>
      <c r="B40">
        <v>0</v>
      </c>
      <c r="C40">
        <v>0</v>
      </c>
    </row>
    <row r="41" spans="1:3" x14ac:dyDescent="0.35">
      <c r="A41" t="s">
        <v>207</v>
      </c>
      <c r="B41">
        <v>85129.4</v>
      </c>
      <c r="C41">
        <v>96100.3</v>
      </c>
    </row>
    <row r="42" spans="1:3" x14ac:dyDescent="0.35">
      <c r="A42" t="s">
        <v>208</v>
      </c>
      <c r="B42">
        <v>393.6</v>
      </c>
      <c r="C42">
        <v>336.5</v>
      </c>
    </row>
    <row r="43" spans="1:3" x14ac:dyDescent="0.35">
      <c r="A43" t="s">
        <v>209</v>
      </c>
      <c r="B43">
        <v>84735.8</v>
      </c>
      <c r="C43">
        <v>95763.8</v>
      </c>
    </row>
    <row r="44" spans="1:3" x14ac:dyDescent="0.35">
      <c r="A44" t="s">
        <v>210</v>
      </c>
      <c r="B44">
        <v>0</v>
      </c>
      <c r="C44">
        <v>0</v>
      </c>
    </row>
    <row r="45" spans="1:3" x14ac:dyDescent="0.35">
      <c r="A45" t="s">
        <v>211</v>
      </c>
      <c r="B45">
        <v>0</v>
      </c>
      <c r="C45">
        <v>0</v>
      </c>
    </row>
    <row r="46" spans="1:3" x14ac:dyDescent="0.35">
      <c r="A46" t="s">
        <v>212</v>
      </c>
      <c r="B46">
        <v>84735.8</v>
      </c>
      <c r="C46">
        <v>95763.8</v>
      </c>
    </row>
    <row r="48" spans="1:3" x14ac:dyDescent="0.35">
      <c r="A48" t="s">
        <v>213</v>
      </c>
      <c r="B48">
        <v>86099.26</v>
      </c>
      <c r="C48">
        <v>100291.89</v>
      </c>
    </row>
    <row r="49" spans="1:3" x14ac:dyDescent="0.35">
      <c r="A49" t="s">
        <v>214</v>
      </c>
      <c r="B49">
        <v>1363.46</v>
      </c>
      <c r="C49">
        <v>4528.09</v>
      </c>
    </row>
    <row r="50" spans="1:3" x14ac:dyDescent="0.35">
      <c r="A50" t="s">
        <v>215</v>
      </c>
      <c r="B50">
        <v>0</v>
      </c>
      <c r="C50">
        <v>0</v>
      </c>
    </row>
    <row r="52" spans="1:3" x14ac:dyDescent="0.35">
      <c r="A52" t="s">
        <v>216</v>
      </c>
      <c r="B52">
        <v>2399.335</v>
      </c>
      <c r="C52">
        <v>2399.335</v>
      </c>
    </row>
    <row r="53" spans="1:3" x14ac:dyDescent="0.35">
      <c r="A53" t="s">
        <v>217</v>
      </c>
      <c r="B53">
        <v>35.299999999999997</v>
      </c>
      <c r="C53">
        <v>39.9</v>
      </c>
    </row>
    <row r="54" spans="1:3" x14ac:dyDescent="0.35">
      <c r="A54" t="s">
        <v>218</v>
      </c>
      <c r="B54">
        <v>35.299999999999997</v>
      </c>
      <c r="C54">
        <v>39.9</v>
      </c>
    </row>
    <row r="55" spans="1:3" x14ac:dyDescent="0.35">
      <c r="A55" t="s">
        <v>219</v>
      </c>
      <c r="B55">
        <v>35.884599999999999</v>
      </c>
      <c r="C55">
        <v>41.799900000000001</v>
      </c>
    </row>
    <row r="57" spans="1:3" x14ac:dyDescent="0.35">
      <c r="A57" t="s">
        <v>220</v>
      </c>
      <c r="B57">
        <v>2399.335</v>
      </c>
      <c r="C57">
        <v>2399.335</v>
      </c>
    </row>
    <row r="58" spans="1:3" x14ac:dyDescent="0.35">
      <c r="A58" t="s">
        <v>221</v>
      </c>
      <c r="B58">
        <v>35.299999999999997</v>
      </c>
      <c r="C58">
        <v>39.9</v>
      </c>
    </row>
    <row r="59" spans="1:3" x14ac:dyDescent="0.35">
      <c r="A59" t="s">
        <v>222</v>
      </c>
      <c r="B59">
        <v>35.299999999999997</v>
      </c>
      <c r="C59">
        <v>39.9</v>
      </c>
    </row>
    <row r="60" spans="1:3" x14ac:dyDescent="0.35">
      <c r="A60" t="s">
        <v>223</v>
      </c>
      <c r="B60">
        <v>35.884599999999999</v>
      </c>
      <c r="C60">
        <v>41.799900000000001</v>
      </c>
    </row>
    <row r="62" spans="1:3" x14ac:dyDescent="0.35">
      <c r="A62" t="s">
        <v>2</v>
      </c>
    </row>
    <row r="63" spans="1:3" x14ac:dyDescent="0.35">
      <c r="A63" t="s">
        <v>10</v>
      </c>
      <c r="B63" t="s">
        <v>11</v>
      </c>
      <c r="C63" t="s">
        <v>11</v>
      </c>
    </row>
    <row r="64" spans="1:3" x14ac:dyDescent="0.35">
      <c r="A64" t="s">
        <v>224</v>
      </c>
      <c r="B64">
        <v>119680.9</v>
      </c>
      <c r="C64">
        <v>132525.4</v>
      </c>
    </row>
    <row r="65" spans="1:3" x14ac:dyDescent="0.35">
      <c r="A65" t="s">
        <v>225</v>
      </c>
      <c r="B65">
        <v>27.653400000000001</v>
      </c>
      <c r="C65">
        <v>27.749099999999999</v>
      </c>
    </row>
    <row r="66" spans="1:3" x14ac:dyDescent="0.35">
      <c r="A66" t="s">
        <v>226</v>
      </c>
      <c r="B66">
        <v>106934.3</v>
      </c>
      <c r="C66">
        <v>118769.7</v>
      </c>
    </row>
    <row r="67" spans="1:3" x14ac:dyDescent="0.35">
      <c r="A67" t="s">
        <v>227</v>
      </c>
      <c r="B67">
        <v>94386.6</v>
      </c>
      <c r="C67">
        <v>106959</v>
      </c>
    </row>
    <row r="68" spans="1:3" x14ac:dyDescent="0.35">
      <c r="A68" t="s">
        <v>228</v>
      </c>
      <c r="B68" t="s">
        <v>13</v>
      </c>
      <c r="C68" t="s">
        <v>13</v>
      </c>
    </row>
    <row r="69" spans="1:3" x14ac:dyDescent="0.35">
      <c r="A69" t="s">
        <v>229</v>
      </c>
      <c r="B69">
        <v>21.808900000000001</v>
      </c>
      <c r="C69">
        <v>22.395800000000001</v>
      </c>
    </row>
    <row r="70" spans="1:3" x14ac:dyDescent="0.35">
      <c r="A70" t="s">
        <v>230</v>
      </c>
      <c r="B70">
        <v>19.894100000000002</v>
      </c>
      <c r="C70">
        <v>20.9998</v>
      </c>
    </row>
    <row r="71" spans="1:3" x14ac:dyDescent="0.35">
      <c r="A71" t="s">
        <v>231</v>
      </c>
      <c r="B71" t="s">
        <v>13</v>
      </c>
      <c r="C71" t="s">
        <v>13</v>
      </c>
    </row>
    <row r="72" spans="1:3" x14ac:dyDescent="0.35">
      <c r="A72" t="s">
        <v>232</v>
      </c>
      <c r="B72">
        <v>22630657.812199999</v>
      </c>
      <c r="C72">
        <v>24453891.449099999</v>
      </c>
    </row>
    <row r="73" spans="1:3" x14ac:dyDescent="0.35">
      <c r="A73" t="s">
        <v>233</v>
      </c>
      <c r="B73">
        <v>11.5</v>
      </c>
      <c r="C73">
        <v>13.5</v>
      </c>
    </row>
    <row r="74" spans="1:3" x14ac:dyDescent="0.35">
      <c r="A74" t="s">
        <v>234</v>
      </c>
      <c r="B74">
        <v>27592.352200000001</v>
      </c>
      <c r="C74">
        <v>32391.022099999998</v>
      </c>
    </row>
    <row r="75" spans="1:3" x14ac:dyDescent="0.35">
      <c r="A75" t="s">
        <v>235</v>
      </c>
      <c r="B75">
        <v>82960.3</v>
      </c>
      <c r="C75">
        <v>94290.6</v>
      </c>
    </row>
    <row r="76" spans="1:3" x14ac:dyDescent="0.35">
      <c r="A76" t="s">
        <v>236</v>
      </c>
      <c r="B76">
        <v>12746.6</v>
      </c>
      <c r="C76">
        <v>13755.7</v>
      </c>
    </row>
    <row r="77" spans="1:3" x14ac:dyDescent="0.35">
      <c r="A77" t="s">
        <v>237</v>
      </c>
      <c r="B77">
        <v>588.70000000000005</v>
      </c>
      <c r="C77">
        <v>734.3</v>
      </c>
    </row>
    <row r="78" spans="1:3" x14ac:dyDescent="0.35">
      <c r="A7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3EBB-836D-48F1-87ED-799BC9089815}">
  <dimension ref="A2:AB36"/>
  <sheetViews>
    <sheetView zoomScale="68" workbookViewId="0">
      <selection activeCell="C14" sqref="C14"/>
    </sheetView>
  </sheetViews>
  <sheetFormatPr defaultRowHeight="14.5" x14ac:dyDescent="0.35"/>
  <cols>
    <col min="2" max="2" width="16.36328125" bestFit="1" customWidth="1"/>
    <col min="3" max="3" width="11.90625" bestFit="1" customWidth="1"/>
    <col min="4" max="9" width="8.90625" bestFit="1" customWidth="1"/>
    <col min="10" max="13" width="9.453125" bestFit="1" customWidth="1"/>
    <col min="16" max="16" width="27.08984375" bestFit="1" customWidth="1"/>
    <col min="17" max="17" width="7.90625" bestFit="1" customWidth="1"/>
    <col min="18" max="18" width="9" bestFit="1" customWidth="1"/>
    <col min="19" max="22" width="8.90625" bestFit="1" customWidth="1"/>
    <col min="23" max="23" width="9" bestFit="1" customWidth="1"/>
    <col min="24" max="27" width="8.90625" bestFit="1" customWidth="1"/>
  </cols>
  <sheetData>
    <row r="2" spans="1:27" ht="21" x14ac:dyDescent="0.5">
      <c r="J2" s="75" t="s">
        <v>158</v>
      </c>
      <c r="K2" s="75"/>
      <c r="L2" s="75"/>
      <c r="M2" s="75"/>
    </row>
    <row r="3" spans="1:27" x14ac:dyDescent="0.35">
      <c r="T3" t="s">
        <v>171</v>
      </c>
    </row>
    <row r="4" spans="1:27" x14ac:dyDescent="0.35">
      <c r="A4" s="74" t="s">
        <v>0</v>
      </c>
      <c r="B4" s="45" t="s">
        <v>136</v>
      </c>
      <c r="C4" s="45">
        <v>2024</v>
      </c>
      <c r="D4" s="46" t="s">
        <v>137</v>
      </c>
      <c r="E4" s="46" t="s">
        <v>138</v>
      </c>
      <c r="F4" s="46" t="s">
        <v>139</v>
      </c>
      <c r="G4" s="46" t="s">
        <v>140</v>
      </c>
      <c r="H4" s="46" t="s">
        <v>141</v>
      </c>
      <c r="I4" s="46" t="s">
        <v>142</v>
      </c>
      <c r="J4" s="46" t="s">
        <v>143</v>
      </c>
      <c r="K4" s="46" t="s">
        <v>144</v>
      </c>
      <c r="L4" s="46" t="s">
        <v>145</v>
      </c>
      <c r="M4" s="46" t="s">
        <v>146</v>
      </c>
      <c r="P4" s="47" t="s">
        <v>136</v>
      </c>
      <c r="Q4" s="46">
        <v>2024</v>
      </c>
      <c r="R4" s="46" t="s">
        <v>137</v>
      </c>
      <c r="S4" s="46" t="s">
        <v>138</v>
      </c>
      <c r="T4" s="46" t="s">
        <v>139</v>
      </c>
      <c r="U4" s="46" t="s">
        <v>140</v>
      </c>
      <c r="V4" s="46" t="s">
        <v>141</v>
      </c>
      <c r="W4" s="46" t="s">
        <v>142</v>
      </c>
      <c r="X4" s="46" t="s">
        <v>143</v>
      </c>
      <c r="Y4" s="46" t="s">
        <v>144</v>
      </c>
      <c r="Z4" s="46" t="s">
        <v>145</v>
      </c>
      <c r="AA4" s="46" t="s">
        <v>146</v>
      </c>
    </row>
    <row r="5" spans="1:27" ht="14.4" customHeight="1" x14ac:dyDescent="0.35">
      <c r="A5" s="74"/>
      <c r="B5" s="45" t="s">
        <v>147</v>
      </c>
      <c r="C5" s="48">
        <v>78564.896999999997</v>
      </c>
      <c r="D5" s="48">
        <f>(1+R11)*C5</f>
        <v>98206.121249999997</v>
      </c>
      <c r="E5" s="48">
        <f t="shared" ref="E5:M5" si="0">(1+S11)*D5</f>
        <v>122757.65156249999</v>
      </c>
      <c r="F5" s="48">
        <f t="shared" si="0"/>
        <v>153447.064453125</v>
      </c>
      <c r="G5" s="48">
        <f t="shared" si="0"/>
        <v>191808.83056640625</v>
      </c>
      <c r="H5" s="48">
        <f t="shared" si="0"/>
        <v>239761.03820800781</v>
      </c>
      <c r="I5" s="49">
        <f t="shared" si="0"/>
        <v>292700.27544433594</v>
      </c>
      <c r="J5" s="49">
        <f t="shared" si="0"/>
        <v>348781.64821947069</v>
      </c>
      <c r="K5" s="49">
        <f t="shared" si="0"/>
        <v>405423.78789031267</v>
      </c>
      <c r="L5" s="49">
        <f t="shared" si="0"/>
        <v>459426.23643730232</v>
      </c>
      <c r="M5" s="49">
        <f t="shared" si="0"/>
        <v>507206.56502678181</v>
      </c>
      <c r="P5" s="47" t="s">
        <v>148</v>
      </c>
      <c r="Q5" s="50">
        <v>1.9E-2</v>
      </c>
      <c r="R5" s="50">
        <f>Q5+($AA$5-$Q$5)/10</f>
        <v>2.1100000000000001E-2</v>
      </c>
      <c r="S5" s="50">
        <f t="shared" ref="S5:Z5" si="1">R5+($AA$5-$Q$5)/10</f>
        <v>2.3200000000000002E-2</v>
      </c>
      <c r="T5" s="50">
        <f t="shared" si="1"/>
        <v>2.5300000000000003E-2</v>
      </c>
      <c r="U5" s="50">
        <f t="shared" si="1"/>
        <v>2.7400000000000004E-2</v>
      </c>
      <c r="V5" s="50">
        <f t="shared" si="1"/>
        <v>2.9500000000000005E-2</v>
      </c>
      <c r="W5" s="50">
        <f t="shared" si="1"/>
        <v>3.1600000000000003E-2</v>
      </c>
      <c r="X5" s="50">
        <f t="shared" si="1"/>
        <v>3.3700000000000001E-2</v>
      </c>
      <c r="Y5" s="50">
        <f t="shared" si="1"/>
        <v>3.5799999999999998E-2</v>
      </c>
      <c r="Z5" s="50">
        <f t="shared" si="1"/>
        <v>3.7899999999999996E-2</v>
      </c>
      <c r="AA5" s="50">
        <v>0.04</v>
      </c>
    </row>
    <row r="6" spans="1:27" x14ac:dyDescent="0.35">
      <c r="A6" s="74"/>
      <c r="B6" s="45" t="s">
        <v>149</v>
      </c>
      <c r="C6" s="48">
        <v>76625.023000000016</v>
      </c>
      <c r="D6" s="48">
        <f t="shared" ref="D6:M6" si="2">(1+R7)*C6</f>
        <v>83327.528699344504</v>
      </c>
      <c r="E6" s="48">
        <f t="shared" si="2"/>
        <v>90802.674643905309</v>
      </c>
      <c r="F6" s="48">
        <f t="shared" si="2"/>
        <v>99151.481162701864</v>
      </c>
      <c r="G6" s="48">
        <f t="shared" si="2"/>
        <v>108489.6668100863</v>
      </c>
      <c r="H6" s="48">
        <f t="shared" si="2"/>
        <v>118949.9692597478</v>
      </c>
      <c r="I6" s="49">
        <f t="shared" si="2"/>
        <v>130316.7331622339</v>
      </c>
      <c r="J6" s="49">
        <f t="shared" si="2"/>
        <v>142656.20308691944</v>
      </c>
      <c r="K6" s="49">
        <f t="shared" si="2"/>
        <v>156038.0396862473</v>
      </c>
      <c r="L6" s="49">
        <f t="shared" si="2"/>
        <v>170535.33110404495</v>
      </c>
      <c r="M6" s="49">
        <f t="shared" si="2"/>
        <v>186224.58156561709</v>
      </c>
      <c r="P6" s="47" t="s">
        <v>150</v>
      </c>
      <c r="Q6" s="50">
        <v>6.5000000000000002E-2</v>
      </c>
      <c r="R6" s="50">
        <v>6.5000000000000002E-2</v>
      </c>
      <c r="S6" s="50">
        <v>6.5000000000000002E-2</v>
      </c>
      <c r="T6" s="50">
        <v>6.5000000000000002E-2</v>
      </c>
      <c r="U6" s="50">
        <v>6.5000000000000002E-2</v>
      </c>
      <c r="V6" s="50">
        <v>6.5000000000000002E-2</v>
      </c>
      <c r="W6" s="50">
        <f>V6-(0.065-$AA$6)/5</f>
        <v>6.2E-2</v>
      </c>
      <c r="X6" s="50">
        <f t="shared" ref="X6:Z6" si="3">W6-(0.065-$AA$6)/5</f>
        <v>5.8999999999999997E-2</v>
      </c>
      <c r="Y6" s="50">
        <f t="shared" si="3"/>
        <v>5.5999999999999994E-2</v>
      </c>
      <c r="Z6" s="50">
        <f t="shared" si="3"/>
        <v>5.2999999999999992E-2</v>
      </c>
      <c r="AA6" s="50">
        <v>0.05</v>
      </c>
    </row>
    <row r="7" spans="1:27" x14ac:dyDescent="0.35">
      <c r="A7" s="74"/>
      <c r="B7" s="45" t="s">
        <v>151</v>
      </c>
      <c r="C7" s="48">
        <v>150340.23499999999</v>
      </c>
      <c r="D7" s="48">
        <f>1.08*C7</f>
        <v>162367.45379999999</v>
      </c>
      <c r="E7" s="48">
        <f t="shared" ref="E7:H7" si="4">1.08*D7</f>
        <v>175356.85010400001</v>
      </c>
      <c r="F7" s="48">
        <f t="shared" si="4"/>
        <v>189385.39811232002</v>
      </c>
      <c r="G7" s="48">
        <f t="shared" si="4"/>
        <v>204536.22996130562</v>
      </c>
      <c r="H7" s="48">
        <f t="shared" si="4"/>
        <v>220899.12835821009</v>
      </c>
      <c r="I7" s="49">
        <f>1.12*H7</f>
        <v>247407.02376119533</v>
      </c>
      <c r="J7" s="49">
        <f t="shared" ref="J7:M7" si="5">1.12*I7</f>
        <v>277095.86661253881</v>
      </c>
      <c r="K7" s="49">
        <f t="shared" si="5"/>
        <v>310347.37060604349</v>
      </c>
      <c r="L7" s="49">
        <f t="shared" si="5"/>
        <v>347589.05507876875</v>
      </c>
      <c r="M7" s="49">
        <f t="shared" si="5"/>
        <v>389299.74168822105</v>
      </c>
      <c r="P7" s="47" t="s">
        <v>152</v>
      </c>
      <c r="Q7" s="51"/>
      <c r="R7" s="51">
        <f>((1+R5)*(1+R6))-1</f>
        <v>8.7471499999999924E-2</v>
      </c>
      <c r="S7" s="51">
        <f t="shared" ref="S7:AA7" si="6">((1+S5)*(1+S6))-1</f>
        <v>8.9708000000000121E-2</v>
      </c>
      <c r="T7" s="51">
        <f t="shared" si="6"/>
        <v>9.1944500000000096E-2</v>
      </c>
      <c r="U7" s="51">
        <f t="shared" si="6"/>
        <v>9.418100000000007E-2</v>
      </c>
      <c r="V7" s="51">
        <f t="shared" si="6"/>
        <v>9.6417500000000045E-2</v>
      </c>
      <c r="W7" s="51">
        <f t="shared" si="6"/>
        <v>9.5559200000000066E-2</v>
      </c>
      <c r="X7" s="51">
        <f t="shared" si="6"/>
        <v>9.4688300000000059E-2</v>
      </c>
      <c r="Y7" s="51">
        <f t="shared" si="6"/>
        <v>9.3804800000000021E-2</v>
      </c>
      <c r="Z7" s="51">
        <f t="shared" si="6"/>
        <v>9.2908699999999955E-2</v>
      </c>
      <c r="AA7" s="51">
        <f t="shared" si="6"/>
        <v>9.2000000000000082E-2</v>
      </c>
    </row>
    <row r="8" spans="1:27" x14ac:dyDescent="0.35">
      <c r="A8" s="74"/>
      <c r="B8" s="45" t="s">
        <v>153</v>
      </c>
      <c r="C8" s="48">
        <v>87294.33</v>
      </c>
      <c r="D8" s="48">
        <f t="shared" ref="D8:M8" si="7">C8*(1+R8)</f>
        <v>96023.763000000006</v>
      </c>
      <c r="E8" s="48">
        <f t="shared" si="7"/>
        <v>106586.37693000001</v>
      </c>
      <c r="F8" s="48">
        <f t="shared" si="7"/>
        <v>119021.45423850002</v>
      </c>
      <c r="G8" s="48">
        <f t="shared" si="7"/>
        <v>133436.27480738502</v>
      </c>
      <c r="H8" s="48">
        <f t="shared" si="7"/>
        <v>150782.99053234505</v>
      </c>
      <c r="I8" s="49">
        <f t="shared" si="7"/>
        <v>170384.77930154989</v>
      </c>
      <c r="J8" s="49">
        <f t="shared" si="7"/>
        <v>192534.80061075135</v>
      </c>
      <c r="K8" s="49">
        <f t="shared" si="7"/>
        <v>217564.32469014899</v>
      </c>
      <c r="L8" s="49">
        <f t="shared" si="7"/>
        <v>245847.68689986833</v>
      </c>
      <c r="M8" s="49">
        <f t="shared" si="7"/>
        <v>277807.88619685121</v>
      </c>
      <c r="P8" s="47" t="s">
        <v>154</v>
      </c>
      <c r="Q8" s="51"/>
      <c r="R8" s="51">
        <v>0.1</v>
      </c>
      <c r="S8" s="51">
        <f>R8+($V$8-R8)/3</f>
        <v>0.11</v>
      </c>
      <c r="T8" s="51">
        <f t="shared" ref="T8:U8" si="8">S8+($V$8-S8)/3</f>
        <v>0.11666666666666667</v>
      </c>
      <c r="U8" s="51">
        <f t="shared" si="8"/>
        <v>0.12111111111111111</v>
      </c>
      <c r="V8" s="51">
        <v>0.13</v>
      </c>
      <c r="W8" s="51">
        <v>0.13</v>
      </c>
      <c r="X8" s="51">
        <v>0.13</v>
      </c>
      <c r="Y8" s="51">
        <v>0.13</v>
      </c>
      <c r="Z8" s="51">
        <v>0.13</v>
      </c>
      <c r="AA8" s="51">
        <v>0.13</v>
      </c>
    </row>
    <row r="9" spans="1:27" x14ac:dyDescent="0.35">
      <c r="A9" s="74"/>
      <c r="B9" s="45" t="s">
        <v>155</v>
      </c>
      <c r="C9" s="48">
        <v>67895.590000000011</v>
      </c>
      <c r="D9" s="48">
        <f>1.055*C9</f>
        <v>71629.847450000001</v>
      </c>
      <c r="E9" s="48">
        <f t="shared" ref="E9:M9" si="9">1.055*D9</f>
        <v>75569.489059749991</v>
      </c>
      <c r="F9" s="48">
        <f t="shared" si="9"/>
        <v>79725.810958036236</v>
      </c>
      <c r="G9" s="48">
        <f t="shared" si="9"/>
        <v>84110.730560728218</v>
      </c>
      <c r="H9" s="48">
        <f t="shared" si="9"/>
        <v>88736.82074156827</v>
      </c>
      <c r="I9" s="49">
        <f t="shared" si="9"/>
        <v>93617.345882354522</v>
      </c>
      <c r="J9" s="49">
        <f t="shared" si="9"/>
        <v>98766.299905884021</v>
      </c>
      <c r="K9" s="49">
        <f t="shared" si="9"/>
        <v>104198.44640070763</v>
      </c>
      <c r="L9" s="49">
        <f t="shared" si="9"/>
        <v>109929.36095274655</v>
      </c>
      <c r="M9" s="49">
        <f t="shared" si="9"/>
        <v>115975.47580514759</v>
      </c>
      <c r="P9" s="47" t="s">
        <v>151</v>
      </c>
      <c r="Q9" s="50"/>
      <c r="R9" s="50">
        <v>0.08</v>
      </c>
      <c r="S9" s="50">
        <v>0.08</v>
      </c>
      <c r="T9" s="50">
        <v>0.08</v>
      </c>
      <c r="U9" s="50">
        <v>0.08</v>
      </c>
      <c r="V9" s="50">
        <v>0.08</v>
      </c>
      <c r="W9" s="50">
        <v>0.12</v>
      </c>
      <c r="X9" s="50">
        <v>0.12</v>
      </c>
      <c r="Y9" s="50">
        <v>0.12</v>
      </c>
      <c r="Z9" s="50">
        <v>0.12</v>
      </c>
      <c r="AA9" s="50">
        <v>0.12</v>
      </c>
    </row>
    <row r="10" spans="1:27" x14ac:dyDescent="0.35">
      <c r="A10" s="74"/>
      <c r="B10" s="45" t="s">
        <v>156</v>
      </c>
      <c r="C10" s="48">
        <v>24248.425000000003</v>
      </c>
      <c r="D10" s="48">
        <f>1.11*C10</f>
        <v>26915.751750000007</v>
      </c>
      <c r="E10" s="48">
        <f t="shared" ref="E10:M10" si="10">1.11*D10</f>
        <v>29876.484442500008</v>
      </c>
      <c r="F10" s="48">
        <f t="shared" si="10"/>
        <v>33162.897731175013</v>
      </c>
      <c r="G10" s="48">
        <f t="shared" si="10"/>
        <v>36810.81648160427</v>
      </c>
      <c r="H10" s="48">
        <f t="shared" si="10"/>
        <v>40860.006294580744</v>
      </c>
      <c r="I10" s="49">
        <f t="shared" si="10"/>
        <v>45354.606986984632</v>
      </c>
      <c r="J10" s="49">
        <f t="shared" si="10"/>
        <v>50343.613755552949</v>
      </c>
      <c r="K10" s="49">
        <f t="shared" si="10"/>
        <v>55881.411268663782</v>
      </c>
      <c r="L10" s="49">
        <f t="shared" si="10"/>
        <v>62028.366508216801</v>
      </c>
      <c r="M10" s="49">
        <f t="shared" si="10"/>
        <v>68851.486824120657</v>
      </c>
      <c r="P10" s="47" t="s">
        <v>155</v>
      </c>
      <c r="Q10" s="51"/>
      <c r="R10" s="50">
        <v>5.5E-2</v>
      </c>
      <c r="S10" s="50">
        <v>5.5E-2</v>
      </c>
      <c r="T10" s="50">
        <v>5.5E-2</v>
      </c>
      <c r="U10" s="50">
        <v>5.5E-2</v>
      </c>
      <c r="V10" s="50">
        <v>5.5E-2</v>
      </c>
      <c r="W10" s="50">
        <v>5.5E-2</v>
      </c>
      <c r="X10" s="50">
        <v>5.5E-2</v>
      </c>
      <c r="Y10" s="50">
        <v>5.5E-2</v>
      </c>
      <c r="Z10" s="50">
        <v>5.5E-2</v>
      </c>
      <c r="AA10" s="50">
        <v>5.5E-2</v>
      </c>
    </row>
    <row r="11" spans="1:27" x14ac:dyDescent="0.35">
      <c r="A11" s="74"/>
      <c r="B11" s="45" t="s">
        <v>157</v>
      </c>
      <c r="C11" s="48">
        <f>SUM(C5:C10)</f>
        <v>484968.50000000006</v>
      </c>
      <c r="D11" s="48">
        <f t="shared" ref="D11:M11" si="11">SUM(D5:D10)</f>
        <v>538470.46594934457</v>
      </c>
      <c r="E11" s="48">
        <f t="shared" si="11"/>
        <v>600949.52674265543</v>
      </c>
      <c r="F11" s="48">
        <f t="shared" si="11"/>
        <v>673894.10665585811</v>
      </c>
      <c r="G11" s="48">
        <f t="shared" si="11"/>
        <v>759192.54918751563</v>
      </c>
      <c r="H11" s="48">
        <f t="shared" si="11"/>
        <v>859989.95339445968</v>
      </c>
      <c r="I11" s="49">
        <f t="shared" si="11"/>
        <v>979780.76453865424</v>
      </c>
      <c r="J11" s="49">
        <f t="shared" si="11"/>
        <v>1110178.4321911174</v>
      </c>
      <c r="K11" s="49">
        <f t="shared" si="11"/>
        <v>1249453.3805421239</v>
      </c>
      <c r="L11" s="49">
        <f t="shared" si="11"/>
        <v>1395356.0369809477</v>
      </c>
      <c r="M11" s="49">
        <f t="shared" si="11"/>
        <v>1545365.7371067393</v>
      </c>
      <c r="P11" s="47" t="s">
        <v>147</v>
      </c>
      <c r="Q11" s="51"/>
      <c r="R11" s="52">
        <v>0.25</v>
      </c>
      <c r="S11" s="52">
        <v>0.25</v>
      </c>
      <c r="T11" s="52">
        <v>0.25</v>
      </c>
      <c r="U11" s="52">
        <v>0.25</v>
      </c>
      <c r="V11" s="52">
        <v>0.25</v>
      </c>
      <c r="W11" s="51">
        <f>V11-(0.25-0.104)/5</f>
        <v>0.2208</v>
      </c>
      <c r="X11" s="51">
        <f t="shared" ref="X11:AA11" si="12">W11-(0.25-0.104)/5</f>
        <v>0.19159999999999999</v>
      </c>
      <c r="Y11" s="51">
        <f t="shared" si="12"/>
        <v>0.16239999999999999</v>
      </c>
      <c r="Z11" s="51">
        <f t="shared" si="12"/>
        <v>0.13319999999999999</v>
      </c>
      <c r="AA11" s="51">
        <f t="shared" si="12"/>
        <v>0.10399999999999998</v>
      </c>
    </row>
    <row r="12" spans="1:27" x14ac:dyDescent="0.35">
      <c r="C12" s="53">
        <f>C11/10</f>
        <v>48496.850000000006</v>
      </c>
    </row>
    <row r="13" spans="1:27" ht="21" x14ac:dyDescent="0.5">
      <c r="C13">
        <f>C11/1000</f>
        <v>484.96850000000006</v>
      </c>
      <c r="J13" s="75" t="s">
        <v>159</v>
      </c>
      <c r="K13" s="75"/>
      <c r="L13" s="75"/>
      <c r="M13" s="75"/>
    </row>
    <row r="15" spans="1:27" x14ac:dyDescent="0.35">
      <c r="T15" t="s">
        <v>172</v>
      </c>
    </row>
    <row r="16" spans="1:27" x14ac:dyDescent="0.35">
      <c r="A16" s="71" t="s">
        <v>0</v>
      </c>
      <c r="B16" s="45" t="s">
        <v>136</v>
      </c>
      <c r="C16" s="45">
        <v>2024</v>
      </c>
      <c r="D16" s="46" t="s">
        <v>137</v>
      </c>
      <c r="E16" s="46" t="s">
        <v>138</v>
      </c>
      <c r="F16" s="46" t="s">
        <v>139</v>
      </c>
      <c r="G16" s="46" t="s">
        <v>140</v>
      </c>
      <c r="H16" s="46" t="s">
        <v>141</v>
      </c>
      <c r="I16" s="46" t="s">
        <v>142</v>
      </c>
      <c r="J16" s="46" t="s">
        <v>143</v>
      </c>
      <c r="K16" s="46" t="s">
        <v>144</v>
      </c>
      <c r="L16" s="46" t="s">
        <v>145</v>
      </c>
      <c r="M16" s="46" t="s">
        <v>146</v>
      </c>
      <c r="P16" s="54" t="s">
        <v>136</v>
      </c>
      <c r="Q16" s="55">
        <v>2024</v>
      </c>
      <c r="R16" s="55" t="s">
        <v>137</v>
      </c>
      <c r="S16" s="55" t="s">
        <v>138</v>
      </c>
      <c r="T16" s="55" t="s">
        <v>139</v>
      </c>
      <c r="U16" s="55" t="s">
        <v>140</v>
      </c>
      <c r="V16" s="55" t="s">
        <v>141</v>
      </c>
      <c r="W16" s="55" t="s">
        <v>142</v>
      </c>
      <c r="X16" s="55" t="s">
        <v>143</v>
      </c>
      <c r="Y16" s="55" t="s">
        <v>144</v>
      </c>
      <c r="Z16" s="55" t="s">
        <v>145</v>
      </c>
      <c r="AA16" s="55" t="s">
        <v>146</v>
      </c>
    </row>
    <row r="17" spans="1:28" x14ac:dyDescent="0.35">
      <c r="A17" s="72"/>
      <c r="B17" s="45" t="s">
        <v>147</v>
      </c>
      <c r="C17" s="48">
        <v>78564.896999999997</v>
      </c>
      <c r="D17" s="48">
        <f>1.052*C17</f>
        <v>82650.271644000008</v>
      </c>
      <c r="E17" s="48">
        <f t="shared" ref="E17:M17" si="13">1.052*D17</f>
        <v>86948.085769488011</v>
      </c>
      <c r="F17" s="48">
        <f t="shared" si="13"/>
        <v>91469.386229501397</v>
      </c>
      <c r="G17" s="48">
        <f t="shared" si="13"/>
        <v>96225.794313435472</v>
      </c>
      <c r="H17" s="48">
        <f t="shared" si="13"/>
        <v>101229.53561773412</v>
      </c>
      <c r="I17" s="49">
        <f t="shared" si="13"/>
        <v>106493.47146985629</v>
      </c>
      <c r="J17" s="49">
        <f t="shared" si="13"/>
        <v>112031.13198628882</v>
      </c>
      <c r="K17" s="49">
        <f t="shared" si="13"/>
        <v>117856.75084957584</v>
      </c>
      <c r="L17" s="49">
        <f t="shared" si="13"/>
        <v>123985.30189375379</v>
      </c>
      <c r="M17" s="49">
        <f t="shared" si="13"/>
        <v>130432.53759222898</v>
      </c>
      <c r="P17" s="54" t="s">
        <v>148</v>
      </c>
      <c r="Q17" s="50">
        <v>1.9E-2</v>
      </c>
      <c r="R17" s="50">
        <v>2.1100000000000001E-2</v>
      </c>
      <c r="S17" s="50">
        <v>2.3200000000000002E-2</v>
      </c>
      <c r="T17" s="50">
        <v>2.5300000000000003E-2</v>
      </c>
      <c r="U17" s="50">
        <v>2.7400000000000004E-2</v>
      </c>
      <c r="V17" s="50">
        <v>2.9500000000000005E-2</v>
      </c>
      <c r="W17" s="50">
        <v>3.1600000000000003E-2</v>
      </c>
      <c r="X17" s="50">
        <v>3.3700000000000001E-2</v>
      </c>
      <c r="Y17" s="50">
        <v>3.5799999999999998E-2</v>
      </c>
      <c r="Z17" s="50">
        <v>3.7899999999999996E-2</v>
      </c>
      <c r="AA17" s="50">
        <v>0.04</v>
      </c>
    </row>
    <row r="18" spans="1:28" x14ac:dyDescent="0.35">
      <c r="A18" s="72"/>
      <c r="B18" s="45" t="s">
        <v>149</v>
      </c>
      <c r="C18" s="48">
        <v>76625.023000000016</v>
      </c>
      <c r="D18" s="48">
        <f>1.065*C18</f>
        <v>81605.64949500002</v>
      </c>
      <c r="E18" s="48">
        <f t="shared" ref="E18:H18" si="14">1.065*D18</f>
        <v>86910.016712175013</v>
      </c>
      <c r="F18" s="48">
        <f t="shared" si="14"/>
        <v>92559.167798466384</v>
      </c>
      <c r="G18" s="48">
        <f t="shared" si="14"/>
        <v>98575.513705366699</v>
      </c>
      <c r="H18" s="48">
        <f t="shared" si="14"/>
        <v>104982.92209621552</v>
      </c>
      <c r="I18" s="49">
        <f>1.05*H18</f>
        <v>110232.0682010263</v>
      </c>
      <c r="J18" s="49">
        <f t="shared" ref="J18:M18" si="15">1.05*I18</f>
        <v>115743.67161107762</v>
      </c>
      <c r="K18" s="49">
        <f t="shared" si="15"/>
        <v>121530.8551916315</v>
      </c>
      <c r="L18" s="49">
        <f t="shared" si="15"/>
        <v>127607.39795121309</v>
      </c>
      <c r="M18" s="49">
        <f t="shared" si="15"/>
        <v>133987.76784877374</v>
      </c>
      <c r="P18" s="54" t="s">
        <v>150</v>
      </c>
      <c r="Q18" s="50">
        <v>6.5000000000000002E-2</v>
      </c>
      <c r="R18" s="50">
        <v>6.5000000000000002E-2</v>
      </c>
      <c r="S18" s="50">
        <v>6.5000000000000002E-2</v>
      </c>
      <c r="T18" s="50">
        <v>6.5000000000000002E-2</v>
      </c>
      <c r="U18" s="50">
        <v>6.5000000000000002E-2</v>
      </c>
      <c r="V18" s="50">
        <v>6.5000000000000002E-2</v>
      </c>
      <c r="W18" s="50">
        <v>6.2E-2</v>
      </c>
      <c r="X18" s="50">
        <v>5.8999999999999997E-2</v>
      </c>
      <c r="Y18" s="50">
        <v>5.5999999999999994E-2</v>
      </c>
      <c r="Z18" s="50">
        <v>5.2999999999999992E-2</v>
      </c>
      <c r="AA18" s="50">
        <v>0.05</v>
      </c>
    </row>
    <row r="19" spans="1:28" x14ac:dyDescent="0.35">
      <c r="A19" s="72"/>
      <c r="B19" s="45" t="s">
        <v>151</v>
      </c>
      <c r="C19" s="48">
        <v>150340.23499999999</v>
      </c>
      <c r="D19" s="48">
        <f>1.08*C19</f>
        <v>162367.45379999999</v>
      </c>
      <c r="E19" s="48">
        <f t="shared" ref="E19:M19" si="16">1.08*D19</f>
        <v>175356.85010400001</v>
      </c>
      <c r="F19" s="48">
        <f t="shared" si="16"/>
        <v>189385.39811232002</v>
      </c>
      <c r="G19" s="48">
        <f t="shared" si="16"/>
        <v>204536.22996130562</v>
      </c>
      <c r="H19" s="48">
        <f t="shared" si="16"/>
        <v>220899.12835821009</v>
      </c>
      <c r="I19" s="49">
        <f t="shared" si="16"/>
        <v>238571.0586268669</v>
      </c>
      <c r="J19" s="49">
        <f t="shared" si="16"/>
        <v>257656.74331701625</v>
      </c>
      <c r="K19" s="49">
        <f t="shared" si="16"/>
        <v>278269.28278237756</v>
      </c>
      <c r="L19" s="49">
        <f t="shared" si="16"/>
        <v>300530.82540496776</v>
      </c>
      <c r="M19" s="49">
        <f t="shared" si="16"/>
        <v>324573.29143736523</v>
      </c>
      <c r="P19" s="54" t="s">
        <v>160</v>
      </c>
      <c r="Q19" s="50">
        <v>6.5000000000000002E-2</v>
      </c>
      <c r="R19" s="50">
        <v>6.5000000000000002E-2</v>
      </c>
      <c r="S19" s="50">
        <v>6.5000000000000002E-2</v>
      </c>
      <c r="T19" s="50">
        <v>6.5000000000000002E-2</v>
      </c>
      <c r="U19" s="50">
        <v>6.5000000000000002E-2</v>
      </c>
      <c r="V19" s="50">
        <v>0.05</v>
      </c>
      <c r="W19" s="50">
        <v>0.05</v>
      </c>
      <c r="X19" s="50">
        <v>0.05</v>
      </c>
      <c r="Y19" s="50">
        <v>0.05</v>
      </c>
      <c r="Z19" s="50">
        <v>0.05</v>
      </c>
      <c r="AA19" s="50">
        <v>0.05</v>
      </c>
    </row>
    <row r="20" spans="1:28" x14ac:dyDescent="0.35">
      <c r="A20" s="72"/>
      <c r="B20" s="45" t="s">
        <v>153</v>
      </c>
      <c r="C20" s="48">
        <v>87294.33</v>
      </c>
      <c r="D20" s="48">
        <f>1.1*C20</f>
        <v>96023.763000000006</v>
      </c>
      <c r="E20" s="48">
        <f t="shared" ref="E20:M20" si="17">1.1*D20</f>
        <v>105626.13930000001</v>
      </c>
      <c r="F20" s="48">
        <f t="shared" si="17"/>
        <v>116188.75323000002</v>
      </c>
      <c r="G20" s="48">
        <f t="shared" si="17"/>
        <v>127807.62855300003</v>
      </c>
      <c r="H20" s="48">
        <f t="shared" si="17"/>
        <v>140588.39140830006</v>
      </c>
      <c r="I20" s="49">
        <f t="shared" si="17"/>
        <v>154647.23054913006</v>
      </c>
      <c r="J20" s="49">
        <f t="shared" si="17"/>
        <v>170111.95360404308</v>
      </c>
      <c r="K20" s="49">
        <f t="shared" si="17"/>
        <v>187123.14896444741</v>
      </c>
      <c r="L20" s="49">
        <f t="shared" si="17"/>
        <v>205835.46386089217</v>
      </c>
      <c r="M20" s="49">
        <f t="shared" si="17"/>
        <v>226419.0102469814</v>
      </c>
      <c r="P20" s="54" t="s">
        <v>154</v>
      </c>
      <c r="Q20" s="50"/>
      <c r="R20" s="50">
        <v>0.1</v>
      </c>
      <c r="S20" s="50">
        <v>0.1</v>
      </c>
      <c r="T20" s="50">
        <v>0.1</v>
      </c>
      <c r="U20" s="50">
        <v>0.1</v>
      </c>
      <c r="V20" s="50">
        <v>0.1</v>
      </c>
      <c r="W20" s="50">
        <v>0.1</v>
      </c>
      <c r="X20" s="50">
        <v>0.1</v>
      </c>
      <c r="Y20" s="50">
        <v>0.1</v>
      </c>
      <c r="Z20" s="50">
        <v>0.1</v>
      </c>
      <c r="AA20" s="50">
        <v>0.1</v>
      </c>
    </row>
    <row r="21" spans="1:28" x14ac:dyDescent="0.35">
      <c r="A21" s="72"/>
      <c r="B21" s="45" t="s">
        <v>155</v>
      </c>
      <c r="C21" s="48">
        <v>67895.590000000011</v>
      </c>
      <c r="D21" s="48">
        <f>1.055*C21</f>
        <v>71629.847450000001</v>
      </c>
      <c r="E21" s="48">
        <f t="shared" ref="E21:M21" si="18">1.055*D21</f>
        <v>75569.489059749991</v>
      </c>
      <c r="F21" s="48">
        <f t="shared" si="18"/>
        <v>79725.810958036236</v>
      </c>
      <c r="G21" s="48">
        <f t="shared" si="18"/>
        <v>84110.730560728218</v>
      </c>
      <c r="H21" s="48">
        <f t="shared" si="18"/>
        <v>88736.82074156827</v>
      </c>
      <c r="I21" s="49">
        <f t="shared" si="18"/>
        <v>93617.345882354522</v>
      </c>
      <c r="J21" s="49">
        <f t="shared" si="18"/>
        <v>98766.299905884021</v>
      </c>
      <c r="K21" s="49">
        <f t="shared" si="18"/>
        <v>104198.44640070763</v>
      </c>
      <c r="L21" s="49">
        <f t="shared" si="18"/>
        <v>109929.36095274655</v>
      </c>
      <c r="M21" s="49">
        <f t="shared" si="18"/>
        <v>115975.47580514759</v>
      </c>
      <c r="P21" s="54" t="s">
        <v>151</v>
      </c>
      <c r="Q21" s="50"/>
      <c r="R21" s="50">
        <v>0.08</v>
      </c>
      <c r="S21" s="50">
        <v>0.08</v>
      </c>
      <c r="T21" s="50">
        <v>0.08</v>
      </c>
      <c r="U21" s="50">
        <v>0.08</v>
      </c>
      <c r="V21" s="50">
        <v>0.08</v>
      </c>
      <c r="W21" s="50">
        <v>0.08</v>
      </c>
      <c r="X21" s="50">
        <v>0.08</v>
      </c>
      <c r="Y21" s="50">
        <v>0.08</v>
      </c>
      <c r="Z21" s="50">
        <v>0.08</v>
      </c>
      <c r="AA21" s="50">
        <v>0.08</v>
      </c>
    </row>
    <row r="22" spans="1:28" x14ac:dyDescent="0.35">
      <c r="A22" s="72"/>
      <c r="B22" s="45" t="s">
        <v>156</v>
      </c>
      <c r="C22" s="48">
        <v>24248.425000000003</v>
      </c>
      <c r="D22" s="48">
        <f>1.03*C22</f>
        <v>24975.877750000003</v>
      </c>
      <c r="E22" s="48">
        <f t="shared" ref="E22:M22" si="19">1.03*D22</f>
        <v>25725.154082500005</v>
      </c>
      <c r="F22" s="48">
        <f t="shared" si="19"/>
        <v>26496.908704975005</v>
      </c>
      <c r="G22" s="48">
        <f t="shared" si="19"/>
        <v>27291.815966124257</v>
      </c>
      <c r="H22" s="48">
        <f t="shared" si="19"/>
        <v>28110.570445107987</v>
      </c>
      <c r="I22" s="49">
        <f t="shared" si="19"/>
        <v>28953.887558461229</v>
      </c>
      <c r="J22" s="49">
        <f t="shared" si="19"/>
        <v>29822.504185215068</v>
      </c>
      <c r="K22" s="49">
        <f t="shared" si="19"/>
        <v>30717.17931077152</v>
      </c>
      <c r="L22" s="49">
        <f t="shared" si="19"/>
        <v>31638.694690094668</v>
      </c>
      <c r="M22" s="49">
        <f t="shared" si="19"/>
        <v>32587.855530797508</v>
      </c>
      <c r="P22" s="54" t="s">
        <v>155</v>
      </c>
      <c r="Q22" s="50"/>
      <c r="R22" s="50">
        <v>5.5E-2</v>
      </c>
      <c r="S22" s="50">
        <v>5.5E-2</v>
      </c>
      <c r="T22" s="50">
        <v>5.5E-2</v>
      </c>
      <c r="U22" s="50">
        <v>5.5E-2</v>
      </c>
      <c r="V22" s="50">
        <v>5.5E-2</v>
      </c>
      <c r="W22" s="50">
        <v>5.5E-2</v>
      </c>
      <c r="X22" s="50">
        <v>5.5E-2</v>
      </c>
      <c r="Y22" s="50">
        <v>5.5E-2</v>
      </c>
      <c r="Z22" s="50">
        <v>5.5E-2</v>
      </c>
      <c r="AA22" s="50">
        <v>5.5E-2</v>
      </c>
    </row>
    <row r="23" spans="1:28" x14ac:dyDescent="0.35">
      <c r="A23" s="73"/>
      <c r="B23" s="45" t="s">
        <v>157</v>
      </c>
      <c r="C23" s="48">
        <f>SUM(C17:C22)</f>
        <v>484968.50000000006</v>
      </c>
      <c r="D23" s="48">
        <f t="shared" ref="D23:M23" si="20">SUM(D17:D22)</f>
        <v>519252.86313900002</v>
      </c>
      <c r="E23" s="48">
        <f t="shared" si="20"/>
        <v>556135.73502791312</v>
      </c>
      <c r="F23" s="48">
        <f t="shared" si="20"/>
        <v>595825.42503329914</v>
      </c>
      <c r="G23" s="48">
        <f t="shared" si="20"/>
        <v>638547.7130599604</v>
      </c>
      <c r="H23" s="48">
        <f t="shared" si="20"/>
        <v>684547.36866713595</v>
      </c>
      <c r="I23" s="49">
        <f t="shared" si="20"/>
        <v>732515.06228769536</v>
      </c>
      <c r="J23" s="49">
        <f t="shared" si="20"/>
        <v>784132.30460952502</v>
      </c>
      <c r="K23" s="49">
        <f t="shared" si="20"/>
        <v>839695.66349951143</v>
      </c>
      <c r="L23" s="49">
        <f t="shared" si="20"/>
        <v>899527.04475366801</v>
      </c>
      <c r="M23" s="49">
        <f t="shared" si="20"/>
        <v>963975.9384612944</v>
      </c>
      <c r="P23" s="54" t="s">
        <v>156</v>
      </c>
      <c r="Q23" s="56"/>
      <c r="R23" s="50">
        <v>0.03</v>
      </c>
      <c r="S23" s="50">
        <v>0.03</v>
      </c>
      <c r="T23" s="50">
        <v>0.03</v>
      </c>
      <c r="U23" s="50">
        <v>0.03</v>
      </c>
      <c r="V23" s="50">
        <v>0.03</v>
      </c>
      <c r="W23" s="50">
        <v>0.03</v>
      </c>
      <c r="X23" s="50">
        <v>0.03</v>
      </c>
      <c r="Y23" s="50">
        <v>0.03</v>
      </c>
      <c r="Z23" s="50">
        <v>0.03</v>
      </c>
      <c r="AA23" s="50">
        <v>0.03</v>
      </c>
    </row>
    <row r="25" spans="1:28" ht="21" x14ac:dyDescent="0.5">
      <c r="J25" s="75" t="s">
        <v>161</v>
      </c>
      <c r="K25" s="75"/>
      <c r="L25" s="75"/>
      <c r="M25" s="75"/>
    </row>
    <row r="27" spans="1:28" x14ac:dyDescent="0.35">
      <c r="T27" t="s">
        <v>173</v>
      </c>
    </row>
    <row r="28" spans="1:28" x14ac:dyDescent="0.35">
      <c r="A28" s="71" t="s">
        <v>0</v>
      </c>
      <c r="B28" s="45" t="s">
        <v>136</v>
      </c>
      <c r="C28" s="45">
        <v>2024</v>
      </c>
      <c r="D28" s="46" t="s">
        <v>137</v>
      </c>
      <c r="E28" s="46" t="s">
        <v>138</v>
      </c>
      <c r="F28" s="46" t="s">
        <v>139</v>
      </c>
      <c r="G28" s="46" t="s">
        <v>140</v>
      </c>
      <c r="H28" s="46" t="s">
        <v>141</v>
      </c>
      <c r="I28" s="46" t="s">
        <v>142</v>
      </c>
      <c r="J28" s="46" t="s">
        <v>143</v>
      </c>
      <c r="K28" s="46" t="s">
        <v>144</v>
      </c>
      <c r="L28" s="46" t="s">
        <v>145</v>
      </c>
      <c r="M28" s="46" t="s">
        <v>146</v>
      </c>
      <c r="P28" s="54" t="s">
        <v>136</v>
      </c>
      <c r="Q28" s="55">
        <v>2024</v>
      </c>
      <c r="R28" s="55" t="s">
        <v>137</v>
      </c>
      <c r="S28" s="55" t="s">
        <v>138</v>
      </c>
      <c r="T28" s="55" t="s">
        <v>139</v>
      </c>
      <c r="U28" s="55" t="s">
        <v>140</v>
      </c>
      <c r="V28" s="55" t="s">
        <v>141</v>
      </c>
      <c r="W28" s="55" t="s">
        <v>142</v>
      </c>
      <c r="X28" s="55" t="s">
        <v>143</v>
      </c>
      <c r="Y28" s="55" t="s">
        <v>144</v>
      </c>
      <c r="Z28" s="55" t="s">
        <v>145</v>
      </c>
      <c r="AA28" s="55" t="s">
        <v>146</v>
      </c>
    </row>
    <row r="29" spans="1:28" x14ac:dyDescent="0.35">
      <c r="A29" s="72"/>
      <c r="B29" s="45" t="s">
        <v>147</v>
      </c>
      <c r="C29" s="48">
        <v>78564.896999999997</v>
      </c>
      <c r="D29" s="48">
        <f>(1+R36)*C29</f>
        <v>98206.121249999997</v>
      </c>
      <c r="E29" s="48">
        <f t="shared" ref="E29:M29" si="21">(1+S36)*D29</f>
        <v>122757.65156249999</v>
      </c>
      <c r="F29" s="48">
        <f t="shared" si="21"/>
        <v>153447.064453125</v>
      </c>
      <c r="G29" s="48">
        <f t="shared" si="21"/>
        <v>191808.83056640625</v>
      </c>
      <c r="H29" s="48">
        <f t="shared" si="21"/>
        <v>239761.03820800781</v>
      </c>
      <c r="I29" s="49">
        <f t="shared" si="21"/>
        <v>290206.76064697263</v>
      </c>
      <c r="J29" s="49">
        <f t="shared" si="21"/>
        <v>339774.07536547555</v>
      </c>
      <c r="K29" s="49">
        <f t="shared" si="21"/>
        <v>384352.43405342597</v>
      </c>
      <c r="L29" s="49">
        <f t="shared" si="21"/>
        <v>419559.11701271986</v>
      </c>
      <c r="M29" s="49">
        <f t="shared" si="21"/>
        <v>441376.19109738129</v>
      </c>
      <c r="P29" s="54" t="s">
        <v>148</v>
      </c>
      <c r="Q29" s="50">
        <v>1.9E-2</v>
      </c>
      <c r="R29" s="50">
        <v>1.9E-2</v>
      </c>
      <c r="S29" s="50">
        <v>1.9E-2</v>
      </c>
      <c r="T29" s="50">
        <v>1.9E-2</v>
      </c>
      <c r="U29" s="50">
        <v>1.9E-2</v>
      </c>
      <c r="V29" s="50">
        <v>1.9E-2</v>
      </c>
      <c r="W29" s="50">
        <v>1.9E-2</v>
      </c>
      <c r="X29" s="50">
        <v>1.9E-2</v>
      </c>
      <c r="Y29" s="50">
        <v>1.9E-2</v>
      </c>
      <c r="Z29" s="50">
        <v>1.9E-2</v>
      </c>
      <c r="AA29" s="50">
        <v>1.9E-2</v>
      </c>
    </row>
    <row r="30" spans="1:28" x14ac:dyDescent="0.35">
      <c r="A30" s="72"/>
      <c r="B30" s="45" t="s">
        <v>149</v>
      </c>
      <c r="C30" s="48">
        <v>76625.023000000016</v>
      </c>
      <c r="D30" s="48">
        <f>(1+R31)*C30</f>
        <v>83156.15683540501</v>
      </c>
      <c r="E30" s="48">
        <f t="shared" ref="E30:M30" si="22">(1+S31)*D30</f>
        <v>90243.971863270752</v>
      </c>
      <c r="F30" s="48">
        <f t="shared" si="22"/>
        <v>97935.916805036628</v>
      </c>
      <c r="G30" s="48">
        <f t="shared" si="22"/>
        <v>106283.48467391392</v>
      </c>
      <c r="H30" s="48">
        <f t="shared" si="22"/>
        <v>115342.55749009496</v>
      </c>
      <c r="I30" s="49">
        <f t="shared" si="22"/>
        <v>124821.17817951596</v>
      </c>
      <c r="J30" s="49">
        <f t="shared" si="22"/>
        <v>134697.15461825742</v>
      </c>
      <c r="K30" s="49">
        <f t="shared" si="22"/>
        <v>144942.75898714055</v>
      </c>
      <c r="L30" s="49">
        <f t="shared" si="22"/>
        <v>155524.5949925147</v>
      </c>
      <c r="M30" s="49">
        <f t="shared" si="22"/>
        <v>166403.5404122411</v>
      </c>
      <c r="P30" s="54" t="s">
        <v>150</v>
      </c>
      <c r="Q30" s="50">
        <v>6.5000000000000002E-2</v>
      </c>
      <c r="R30" s="50">
        <v>6.5000000000000002E-2</v>
      </c>
      <c r="S30" s="50">
        <v>6.5000000000000002E-2</v>
      </c>
      <c r="T30" s="50">
        <v>6.5000000000000002E-2</v>
      </c>
      <c r="U30" s="50">
        <v>6.5000000000000002E-2</v>
      </c>
      <c r="V30" s="50">
        <v>6.5000000000000002E-2</v>
      </c>
      <c r="W30" s="50">
        <v>6.2E-2</v>
      </c>
      <c r="X30" s="50">
        <v>5.8999999999999997E-2</v>
      </c>
      <c r="Y30" s="50">
        <v>5.5999999999999994E-2</v>
      </c>
      <c r="Z30" s="50">
        <v>5.2999999999999992E-2</v>
      </c>
      <c r="AA30" s="50">
        <v>0.05</v>
      </c>
    </row>
    <row r="31" spans="1:28" x14ac:dyDescent="0.35">
      <c r="A31" s="72"/>
      <c r="B31" s="45" t="s">
        <v>151</v>
      </c>
      <c r="C31" s="48">
        <v>150340.23499999999</v>
      </c>
      <c r="D31" s="48">
        <f t="shared" ref="D31:M31" si="23">(1+R33)*C31</f>
        <v>162367.45379999999</v>
      </c>
      <c r="E31" s="48">
        <f t="shared" si="23"/>
        <v>175356.85010400001</v>
      </c>
      <c r="F31" s="48">
        <f t="shared" si="23"/>
        <v>189385.39811232002</v>
      </c>
      <c r="G31" s="48">
        <f t="shared" si="23"/>
        <v>204536.22996130562</v>
      </c>
      <c r="H31" s="48">
        <f t="shared" si="23"/>
        <v>220899.12835821009</v>
      </c>
      <c r="I31" s="49">
        <f t="shared" si="23"/>
        <v>240338.25165373259</v>
      </c>
      <c r="J31" s="49">
        <f t="shared" si="23"/>
        <v>263410.72381249093</v>
      </c>
      <c r="K31" s="49">
        <f t="shared" si="23"/>
        <v>290805.43908899004</v>
      </c>
      <c r="L31" s="49">
        <f t="shared" si="23"/>
        <v>323375.64826695691</v>
      </c>
      <c r="M31" s="49">
        <f t="shared" si="23"/>
        <v>362180.72605899168</v>
      </c>
      <c r="P31" s="54" t="s">
        <v>162</v>
      </c>
      <c r="Q31" s="50"/>
      <c r="R31" s="50">
        <f>((1+R29)*(1+R30))-1</f>
        <v>8.523499999999995E-2</v>
      </c>
      <c r="S31" s="50">
        <f t="shared" ref="S31:AA31" si="24">((1+S29)*(1+S30))-1</f>
        <v>8.523499999999995E-2</v>
      </c>
      <c r="T31" s="50">
        <f t="shared" si="24"/>
        <v>8.523499999999995E-2</v>
      </c>
      <c r="U31" s="50">
        <f t="shared" si="24"/>
        <v>8.523499999999995E-2</v>
      </c>
      <c r="V31" s="50">
        <f>((1+V29)*(1+V30))-1</f>
        <v>8.523499999999995E-2</v>
      </c>
      <c r="W31" s="50">
        <f t="shared" si="24"/>
        <v>8.2177999999999862E-2</v>
      </c>
      <c r="X31" s="50">
        <f t="shared" si="24"/>
        <v>7.9120999999999775E-2</v>
      </c>
      <c r="Y31" s="50">
        <f t="shared" si="24"/>
        <v>7.6063999999999909E-2</v>
      </c>
      <c r="Z31" s="50">
        <f t="shared" si="24"/>
        <v>7.3006999999999822E-2</v>
      </c>
      <c r="AA31" s="50">
        <f t="shared" si="24"/>
        <v>6.9949999999999957E-2</v>
      </c>
    </row>
    <row r="32" spans="1:28" x14ac:dyDescent="0.35">
      <c r="A32" s="72"/>
      <c r="B32" s="45" t="s">
        <v>153</v>
      </c>
      <c r="C32" s="48">
        <v>87294.33</v>
      </c>
      <c r="D32" s="48">
        <f t="shared" ref="D32:M32" si="25">(1+R32)*C32</f>
        <v>96023.763000000006</v>
      </c>
      <c r="E32" s="48">
        <f t="shared" si="25"/>
        <v>105946.21851000001</v>
      </c>
      <c r="F32" s="48">
        <f t="shared" si="25"/>
        <v>117247.14848440001</v>
      </c>
      <c r="G32" s="48">
        <f t="shared" si="25"/>
        <v>130144.33481768399</v>
      </c>
      <c r="H32" s="48">
        <f t="shared" si="25"/>
        <v>144894.0260970215</v>
      </c>
      <c r="I32" s="49">
        <f t="shared" si="25"/>
        <v>161798.32914167401</v>
      </c>
      <c r="J32" s="49">
        <f t="shared" si="25"/>
        <v>181214.12863867488</v>
      </c>
      <c r="K32" s="49">
        <f t="shared" si="25"/>
        <v>203563.87117077812</v>
      </c>
      <c r="L32" s="49">
        <f t="shared" si="25"/>
        <v>229348.62818574335</v>
      </c>
      <c r="M32" s="49">
        <f t="shared" si="25"/>
        <v>259163.94984988996</v>
      </c>
      <c r="P32" s="54" t="s">
        <v>154</v>
      </c>
      <c r="Q32" s="50"/>
      <c r="R32" s="50">
        <v>0.1</v>
      </c>
      <c r="S32" s="50">
        <f>R32+(0.13-0.1)/9</f>
        <v>0.10333333333333333</v>
      </c>
      <c r="T32" s="50">
        <f t="shared" ref="T32:AA32" si="26">S32+(0.13-0.1)/9</f>
        <v>0.10666666666666666</v>
      </c>
      <c r="U32" s="50">
        <f t="shared" si="26"/>
        <v>0.10999999999999999</v>
      </c>
      <c r="V32" s="50">
        <f t="shared" si="26"/>
        <v>0.11333333333333331</v>
      </c>
      <c r="W32" s="50">
        <f t="shared" si="26"/>
        <v>0.11666666666666664</v>
      </c>
      <c r="X32" s="50">
        <f t="shared" si="26"/>
        <v>0.11999999999999997</v>
      </c>
      <c r="Y32" s="50">
        <f t="shared" si="26"/>
        <v>0.12333333333333329</v>
      </c>
      <c r="Z32" s="50">
        <f t="shared" si="26"/>
        <v>0.12666666666666662</v>
      </c>
      <c r="AA32" s="50">
        <f t="shared" si="26"/>
        <v>0.12999999999999995</v>
      </c>
      <c r="AB32" s="1"/>
    </row>
    <row r="33" spans="1:27" x14ac:dyDescent="0.35">
      <c r="A33" s="72"/>
      <c r="B33" s="45" t="s">
        <v>155</v>
      </c>
      <c r="C33" s="48">
        <v>67895.590000000011</v>
      </c>
      <c r="D33" s="48">
        <f>1.055*C33</f>
        <v>71629.847450000001</v>
      </c>
      <c r="E33" s="48">
        <f t="shared" ref="E33:M33" si="27">1.055*D33</f>
        <v>75569.489059749991</v>
      </c>
      <c r="F33" s="48">
        <f t="shared" si="27"/>
        <v>79725.810958036236</v>
      </c>
      <c r="G33" s="48">
        <f t="shared" si="27"/>
        <v>84110.730560728218</v>
      </c>
      <c r="H33" s="48">
        <f t="shared" si="27"/>
        <v>88736.82074156827</v>
      </c>
      <c r="I33" s="49">
        <f t="shared" si="27"/>
        <v>93617.345882354522</v>
      </c>
      <c r="J33" s="49">
        <f t="shared" si="27"/>
        <v>98766.299905884021</v>
      </c>
      <c r="K33" s="49">
        <f t="shared" si="27"/>
        <v>104198.44640070763</v>
      </c>
      <c r="L33" s="49">
        <f t="shared" si="27"/>
        <v>109929.36095274655</v>
      </c>
      <c r="M33" s="49">
        <f t="shared" si="27"/>
        <v>115975.47580514759</v>
      </c>
      <c r="P33" s="54" t="s">
        <v>151</v>
      </c>
      <c r="Q33" s="50"/>
      <c r="R33" s="50">
        <v>0.08</v>
      </c>
      <c r="S33" s="50">
        <v>0.08</v>
      </c>
      <c r="T33" s="50">
        <v>0.08</v>
      </c>
      <c r="U33" s="50">
        <v>0.08</v>
      </c>
      <c r="V33" s="50">
        <v>0.08</v>
      </c>
      <c r="W33" s="50">
        <f>V33+(0.12-0.08)/5</f>
        <v>8.7999999999999995E-2</v>
      </c>
      <c r="X33" s="50">
        <f t="shared" ref="X33:AA33" si="28">W33+(0.12-0.08)/5</f>
        <v>9.5999999999999988E-2</v>
      </c>
      <c r="Y33" s="50">
        <f t="shared" si="28"/>
        <v>0.10399999999999998</v>
      </c>
      <c r="Z33" s="50">
        <f t="shared" si="28"/>
        <v>0.11199999999999997</v>
      </c>
      <c r="AA33" s="50">
        <f t="shared" si="28"/>
        <v>0.11999999999999997</v>
      </c>
    </row>
    <row r="34" spans="1:27" x14ac:dyDescent="0.35">
      <c r="A34" s="72"/>
      <c r="B34" s="45" t="s">
        <v>156</v>
      </c>
      <c r="C34" s="48">
        <v>24248.425000000003</v>
      </c>
      <c r="D34" s="48">
        <f>1.07*C34</f>
        <v>25945.814750000005</v>
      </c>
      <c r="E34" s="48">
        <f t="shared" ref="E34:M34" si="29">1.07*D34</f>
        <v>27762.021782500007</v>
      </c>
      <c r="F34" s="48">
        <f t="shared" si="29"/>
        <v>29705.363307275009</v>
      </c>
      <c r="G34" s="48">
        <f t="shared" si="29"/>
        <v>31784.738738784261</v>
      </c>
      <c r="H34" s="48">
        <f t="shared" si="29"/>
        <v>34009.670450499158</v>
      </c>
      <c r="I34" s="49">
        <f t="shared" si="29"/>
        <v>36390.347382034102</v>
      </c>
      <c r="J34" s="49">
        <f t="shared" si="29"/>
        <v>38937.671698776488</v>
      </c>
      <c r="K34" s="49">
        <f t="shared" si="29"/>
        <v>41663.308717690845</v>
      </c>
      <c r="L34" s="49">
        <f t="shared" si="29"/>
        <v>44579.740327929205</v>
      </c>
      <c r="M34" s="49">
        <f t="shared" si="29"/>
        <v>47700.322150884254</v>
      </c>
      <c r="P34" s="54" t="s">
        <v>155</v>
      </c>
      <c r="Q34" s="50"/>
      <c r="R34" s="50">
        <v>5.5E-2</v>
      </c>
      <c r="S34" s="50">
        <v>5.5E-2</v>
      </c>
      <c r="T34" s="50">
        <v>5.5E-2</v>
      </c>
      <c r="U34" s="50">
        <v>5.5E-2</v>
      </c>
      <c r="V34" s="50">
        <v>5.5E-2</v>
      </c>
      <c r="W34" s="50">
        <v>5.5E-2</v>
      </c>
      <c r="X34" s="50">
        <v>5.5E-2</v>
      </c>
      <c r="Y34" s="50">
        <v>5.5E-2</v>
      </c>
      <c r="Z34" s="50">
        <v>5.5E-2</v>
      </c>
      <c r="AA34" s="50">
        <v>5.5E-2</v>
      </c>
    </row>
    <row r="35" spans="1:27" x14ac:dyDescent="0.35">
      <c r="A35" s="73"/>
      <c r="B35" s="45" t="s">
        <v>157</v>
      </c>
      <c r="C35" s="48">
        <f>SUM(C29:C34)</f>
        <v>484968.50000000006</v>
      </c>
      <c r="D35" s="48">
        <f t="shared" ref="D35:M35" si="30">SUM(D29:D34)</f>
        <v>537329.15708540508</v>
      </c>
      <c r="E35" s="48">
        <f t="shared" si="30"/>
        <v>597636.20288202073</v>
      </c>
      <c r="F35" s="48">
        <f t="shared" si="30"/>
        <v>667446.70212019293</v>
      </c>
      <c r="G35" s="48">
        <f t="shared" si="30"/>
        <v>748668.34931882226</v>
      </c>
      <c r="H35" s="48">
        <f t="shared" si="30"/>
        <v>843643.24134540174</v>
      </c>
      <c r="I35" s="49">
        <f t="shared" si="30"/>
        <v>947172.21288628376</v>
      </c>
      <c r="J35" s="49">
        <f t="shared" si="30"/>
        <v>1056800.0540395593</v>
      </c>
      <c r="K35" s="49">
        <f t="shared" si="30"/>
        <v>1169526.258418733</v>
      </c>
      <c r="L35" s="49">
        <f t="shared" si="30"/>
        <v>1282317.0897386107</v>
      </c>
      <c r="M35" s="49">
        <f t="shared" si="30"/>
        <v>1392800.2053745356</v>
      </c>
      <c r="P35" s="54" t="s">
        <v>156</v>
      </c>
      <c r="Q35" s="50"/>
      <c r="R35" s="50">
        <v>7.0000000000000007E-2</v>
      </c>
      <c r="S35" s="50">
        <v>7.0000000000000007E-2</v>
      </c>
      <c r="T35" s="50">
        <v>7.0000000000000007E-2</v>
      </c>
      <c r="U35" s="50">
        <v>7.0000000000000007E-2</v>
      </c>
      <c r="V35" s="50">
        <v>7.0000000000000007E-2</v>
      </c>
      <c r="W35" s="50">
        <v>7.0000000000000007E-2</v>
      </c>
      <c r="X35" s="50">
        <v>7.0000000000000007E-2</v>
      </c>
      <c r="Y35" s="50">
        <v>7.0000000000000007E-2</v>
      </c>
      <c r="Z35" s="50">
        <v>7.0000000000000007E-2</v>
      </c>
      <c r="AA35" s="50">
        <v>7.0000000000000007E-2</v>
      </c>
    </row>
    <row r="36" spans="1:27" x14ac:dyDescent="0.35">
      <c r="C36" s="53"/>
      <c r="P36" s="54" t="s">
        <v>163</v>
      </c>
      <c r="Q36" s="56"/>
      <c r="R36" s="50">
        <v>0.25</v>
      </c>
      <c r="S36" s="50">
        <v>0.25</v>
      </c>
      <c r="T36" s="50">
        <v>0.25</v>
      </c>
      <c r="U36" s="50">
        <v>0.25</v>
      </c>
      <c r="V36" s="50">
        <v>0.25</v>
      </c>
      <c r="W36" s="51">
        <f>V36-(0.25-0.052)/5</f>
        <v>0.2104</v>
      </c>
      <c r="X36" s="51">
        <f t="shared" ref="X36:AA36" si="31">W36-(0.25-0.052)/5</f>
        <v>0.17080000000000001</v>
      </c>
      <c r="Y36" s="51">
        <f t="shared" si="31"/>
        <v>0.13120000000000001</v>
      </c>
      <c r="Z36" s="51">
        <f t="shared" si="31"/>
        <v>9.1600000000000015E-2</v>
      </c>
      <c r="AA36" s="51">
        <f t="shared" si="31"/>
        <v>5.2000000000000011E-2</v>
      </c>
    </row>
  </sheetData>
  <mergeCells count="6">
    <mergeCell ref="A28:A35"/>
    <mergeCell ref="A4:A11"/>
    <mergeCell ref="J2:M2"/>
    <mergeCell ref="J13:M13"/>
    <mergeCell ref="A16:A23"/>
    <mergeCell ref="J25:M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2946-216D-4E49-951E-4984F0D48592}">
  <dimension ref="A2:X59"/>
  <sheetViews>
    <sheetView topLeftCell="A40" zoomScale="78" workbookViewId="0">
      <selection activeCell="C54" sqref="C54"/>
    </sheetView>
  </sheetViews>
  <sheetFormatPr defaultRowHeight="14.5" x14ac:dyDescent="0.35"/>
  <cols>
    <col min="1" max="1" width="33.36328125" bestFit="1" customWidth="1"/>
    <col min="2" max="2" width="14.90625" bestFit="1" customWidth="1"/>
    <col min="3" max="4" width="12.08984375" bestFit="1" customWidth="1"/>
    <col min="5" max="5" width="14" customWidth="1"/>
    <col min="6" max="6" width="14.1796875" bestFit="1" customWidth="1"/>
    <col min="7" max="8" width="13.81640625" customWidth="1"/>
    <col min="16" max="16" width="15.6328125" bestFit="1" customWidth="1"/>
    <col min="21" max="21" width="16.08984375" bestFit="1" customWidth="1"/>
  </cols>
  <sheetData>
    <row r="2" spans="1:21" ht="18.5" x14ac:dyDescent="0.45">
      <c r="C2" s="76" t="s">
        <v>129</v>
      </c>
      <c r="D2" s="76"/>
      <c r="E2" s="76"/>
      <c r="F2" s="76"/>
    </row>
    <row r="4" spans="1:21" x14ac:dyDescent="0.35">
      <c r="A4" s="2" t="s">
        <v>130</v>
      </c>
      <c r="B4" t="s">
        <v>4</v>
      </c>
      <c r="C4" t="s">
        <v>5</v>
      </c>
      <c r="D4" s="2" t="s">
        <v>6</v>
      </c>
      <c r="E4" s="2" t="s">
        <v>24</v>
      </c>
      <c r="F4" s="2" t="s">
        <v>34</v>
      </c>
      <c r="G4" s="2" t="s">
        <v>25</v>
      </c>
      <c r="H4" s="2" t="s">
        <v>26</v>
      </c>
      <c r="I4" s="2" t="s">
        <v>35</v>
      </c>
      <c r="J4" s="2" t="s">
        <v>36</v>
      </c>
      <c r="K4" s="2" t="s">
        <v>27</v>
      </c>
      <c r="L4" s="2" t="s">
        <v>28</v>
      </c>
      <c r="M4" s="2" t="s">
        <v>29</v>
      </c>
      <c r="N4" s="2" t="s">
        <v>30</v>
      </c>
    </row>
    <row r="5" spans="1:21" x14ac:dyDescent="0.35">
      <c r="A5" t="s">
        <v>0</v>
      </c>
      <c r="B5">
        <v>384264.2</v>
      </c>
      <c r="C5">
        <v>432788.7</v>
      </c>
      <c r="D5">
        <v>477584.5</v>
      </c>
      <c r="S5" t="s">
        <v>48</v>
      </c>
    </row>
    <row r="6" spans="1:21" x14ac:dyDescent="0.35">
      <c r="Q6" s="4">
        <v>0.31</v>
      </c>
      <c r="R6" t="s">
        <v>33</v>
      </c>
      <c r="S6" s="4">
        <v>0.04</v>
      </c>
      <c r="U6" t="s">
        <v>49</v>
      </c>
    </row>
    <row r="7" spans="1:21" x14ac:dyDescent="0.35">
      <c r="A7" t="s">
        <v>14</v>
      </c>
      <c r="B7">
        <v>384264.2</v>
      </c>
      <c r="C7">
        <v>432788.7</v>
      </c>
      <c r="D7" s="16">
        <f>'Revenue Projection'!C11</f>
        <v>484968.50000000006</v>
      </c>
      <c r="E7" s="16">
        <f>'Revenue Projection'!D11</f>
        <v>538470.46594934457</v>
      </c>
      <c r="F7" s="16">
        <f>'Revenue Projection'!E11</f>
        <v>600949.52674265543</v>
      </c>
      <c r="G7" s="16">
        <f>'Revenue Projection'!F11</f>
        <v>673894.10665585811</v>
      </c>
      <c r="H7" s="16">
        <f>'Revenue Projection'!G11</f>
        <v>759192.54918751563</v>
      </c>
      <c r="I7" s="16">
        <f>'Revenue Projection'!H11</f>
        <v>859989.95339445968</v>
      </c>
      <c r="J7" s="16">
        <f>'Revenue Projection'!I11</f>
        <v>979780.76453865424</v>
      </c>
      <c r="K7" s="16">
        <f>'Revenue Projection'!J11</f>
        <v>1110178.4321911174</v>
      </c>
      <c r="L7" s="16">
        <f>'Revenue Projection'!K11</f>
        <v>1249453.3805421239</v>
      </c>
      <c r="M7" s="16">
        <f>'Revenue Projection'!L11</f>
        <v>1395356.0369809477</v>
      </c>
      <c r="N7" s="16">
        <f>'Revenue Projection'!M11</f>
        <v>1545365.7371067393</v>
      </c>
      <c r="Q7" s="4">
        <v>0.32</v>
      </c>
      <c r="R7" t="s">
        <v>32</v>
      </c>
      <c r="S7" s="5">
        <v>0.02</v>
      </c>
      <c r="U7" s="12">
        <f>Q6*S6+Q7*S7+Q8*S8</f>
        <v>3.0679999999999999E-2</v>
      </c>
    </row>
    <row r="8" spans="1:21" x14ac:dyDescent="0.35">
      <c r="A8" t="s">
        <v>1</v>
      </c>
      <c r="B8" t="s">
        <v>13</v>
      </c>
      <c r="C8" t="s">
        <v>13</v>
      </c>
      <c r="D8" t="s">
        <v>13</v>
      </c>
      <c r="Q8" s="4">
        <f>1-Q7-Q7</f>
        <v>0.35999999999999993</v>
      </c>
      <c r="R8" t="s">
        <v>47</v>
      </c>
      <c r="S8" s="5">
        <v>3.3000000000000002E-2</v>
      </c>
    </row>
    <row r="9" spans="1:21" x14ac:dyDescent="0.35">
      <c r="A9" t="s">
        <v>15</v>
      </c>
      <c r="B9">
        <v>2280.6999999999998</v>
      </c>
      <c r="C9">
        <v>6068.1</v>
      </c>
      <c r="D9">
        <v>7384</v>
      </c>
    </row>
    <row r="10" spans="1:21" x14ac:dyDescent="0.35">
      <c r="A10" t="s">
        <v>16</v>
      </c>
      <c r="B10">
        <v>301582.5</v>
      </c>
      <c r="C10">
        <v>344470.2</v>
      </c>
      <c r="D10">
        <v>378009.5</v>
      </c>
    </row>
    <row r="11" spans="1:21" x14ac:dyDescent="0.35">
      <c r="A11" t="s">
        <v>17</v>
      </c>
      <c r="B11">
        <v>32817.300000000003</v>
      </c>
      <c r="C11">
        <v>42921.8</v>
      </c>
      <c r="D11">
        <v>49677.9</v>
      </c>
      <c r="E11">
        <f>E7*$E$12</f>
        <v>53847.046594934458</v>
      </c>
      <c r="F11">
        <f t="shared" ref="F11:I11" si="0">F7*$E$12</f>
        <v>60094.952674265543</v>
      </c>
      <c r="G11">
        <f t="shared" si="0"/>
        <v>67389.41066558582</v>
      </c>
      <c r="H11">
        <f t="shared" si="0"/>
        <v>75919.254918751569</v>
      </c>
      <c r="I11">
        <f t="shared" si="0"/>
        <v>85998.995339445974</v>
      </c>
    </row>
    <row r="12" spans="1:21" x14ac:dyDescent="0.35">
      <c r="B12" s="3">
        <v>8.5402959734474357E-2</v>
      </c>
      <c r="C12" s="3">
        <v>9.9174955353501612E-2</v>
      </c>
      <c r="D12" s="3">
        <f t="shared" ref="D12" si="1">D11/D7</f>
        <v>0.10243531280897625</v>
      </c>
      <c r="E12" s="4">
        <v>0.1</v>
      </c>
    </row>
    <row r="13" spans="1:21" x14ac:dyDescent="0.35">
      <c r="A13" t="s">
        <v>18</v>
      </c>
      <c r="B13">
        <v>22103.7</v>
      </c>
      <c r="C13">
        <v>22856.2</v>
      </c>
      <c r="D13">
        <v>30923.7</v>
      </c>
      <c r="E13">
        <f>E7*$E$14</f>
        <v>35000.580286707394</v>
      </c>
      <c r="F13">
        <f>F7*$E$14</f>
        <v>39061.719238272606</v>
      </c>
      <c r="G13">
        <f t="shared" ref="G13:I13" si="2">G7*$E$14</f>
        <v>43803.116932630779</v>
      </c>
      <c r="H13">
        <f t="shared" si="2"/>
        <v>49347.515697188515</v>
      </c>
      <c r="I13">
        <f t="shared" si="2"/>
        <v>55899.346970639883</v>
      </c>
    </row>
    <row r="14" spans="1:21" x14ac:dyDescent="0.35">
      <c r="E14" s="5">
        <v>6.5000000000000002E-2</v>
      </c>
    </row>
    <row r="15" spans="1:21" x14ac:dyDescent="0.35">
      <c r="A15" t="s">
        <v>37</v>
      </c>
      <c r="B15">
        <v>6323.73</v>
      </c>
      <c r="C15">
        <v>8609.3499999999985</v>
      </c>
      <c r="D15">
        <f>C15+D13/10</f>
        <v>11701.719999999998</v>
      </c>
      <c r="E15" s="32">
        <f>D15+E13/10</f>
        <v>15201.778028670737</v>
      </c>
      <c r="F15" s="32">
        <f t="shared" ref="F15:I15" si="3">E15+F13/10</f>
        <v>19107.949952497998</v>
      </c>
      <c r="G15" s="32">
        <f t="shared" si="3"/>
        <v>23488.261645761078</v>
      </c>
      <c r="H15" s="32">
        <f t="shared" si="3"/>
        <v>28423.013215479928</v>
      </c>
      <c r="I15">
        <f t="shared" si="3"/>
        <v>34012.947912543917</v>
      </c>
    </row>
    <row r="16" spans="1:21" x14ac:dyDescent="0.35">
      <c r="A16" t="s">
        <v>31</v>
      </c>
      <c r="B16">
        <v>50831.180000000008</v>
      </c>
      <c r="C16">
        <v>65078.030000000006</v>
      </c>
      <c r="D16">
        <f>C16+D13-D15</f>
        <v>84300.010000000009</v>
      </c>
      <c r="E16" s="32">
        <f t="shared" ref="E16:I16" si="4">D16+E13-E15</f>
        <v>104098.81225803666</v>
      </c>
      <c r="F16" s="32">
        <f t="shared" si="4"/>
        <v>124052.58154381128</v>
      </c>
      <c r="G16" s="32">
        <f t="shared" si="4"/>
        <v>144367.43683068096</v>
      </c>
      <c r="H16" s="32">
        <f t="shared" si="4"/>
        <v>165291.93931238956</v>
      </c>
      <c r="I16">
        <f t="shared" si="4"/>
        <v>187178.33837048552</v>
      </c>
    </row>
    <row r="17" spans="1:14" x14ac:dyDescent="0.35">
      <c r="E17" s="5"/>
    </row>
    <row r="18" spans="1:14" x14ac:dyDescent="0.35">
      <c r="A18" t="s">
        <v>19</v>
      </c>
      <c r="B18">
        <v>21437.4</v>
      </c>
      <c r="C18">
        <v>25294.3</v>
      </c>
      <c r="D18">
        <v>25566.400000000001</v>
      </c>
      <c r="E18">
        <f>E7*$E$19</f>
        <v>32308.227956960673</v>
      </c>
      <c r="F18">
        <f>F7*$E$19</f>
        <v>36056.971604559323</v>
      </c>
      <c r="G18">
        <f t="shared" ref="G18:N18" si="5">G7*$E$19</f>
        <v>40433.646399351484</v>
      </c>
      <c r="H18">
        <f t="shared" si="5"/>
        <v>45551.552951250938</v>
      </c>
      <c r="I18">
        <f t="shared" si="5"/>
        <v>51599.397203667577</v>
      </c>
      <c r="J18">
        <f t="shared" si="5"/>
        <v>58786.845872319253</v>
      </c>
      <c r="K18">
        <f t="shared" si="5"/>
        <v>66610.705931467048</v>
      </c>
      <c r="L18">
        <f t="shared" si="5"/>
        <v>74967.20283252743</v>
      </c>
      <c r="M18">
        <f t="shared" si="5"/>
        <v>83721.362218856855</v>
      </c>
      <c r="N18">
        <f t="shared" si="5"/>
        <v>92721.944226404361</v>
      </c>
    </row>
    <row r="19" spans="1:14" x14ac:dyDescent="0.35">
      <c r="B19" s="3">
        <v>5.5788179070545736E-2</v>
      </c>
      <c r="C19" s="3">
        <v>5.8444917808621155E-2</v>
      </c>
      <c r="D19" s="3">
        <f t="shared" ref="D19" si="6">D18/D7</f>
        <v>5.2717650734016741E-2</v>
      </c>
      <c r="E19" s="4">
        <v>0.06</v>
      </c>
    </row>
    <row r="20" spans="1:14" x14ac:dyDescent="0.35">
      <c r="A20" t="s">
        <v>20</v>
      </c>
      <c r="B20">
        <v>175.7</v>
      </c>
      <c r="C20">
        <v>426.2</v>
      </c>
      <c r="D20">
        <v>905.9</v>
      </c>
      <c r="E20">
        <f>E7*$E$21</f>
        <v>1076.9409318986891</v>
      </c>
      <c r="F20">
        <f t="shared" ref="F20:I20" si="7">F7*$E$21</f>
        <v>1201.8990534853108</v>
      </c>
      <c r="G20">
        <f t="shared" si="7"/>
        <v>1347.7882133117162</v>
      </c>
      <c r="H20">
        <f t="shared" si="7"/>
        <v>1518.3850983750312</v>
      </c>
      <c r="I20">
        <f t="shared" si="7"/>
        <v>1719.9799067889194</v>
      </c>
    </row>
    <row r="21" spans="1:14" x14ac:dyDescent="0.35">
      <c r="B21" s="1">
        <v>4.5723749441139712E-4</v>
      </c>
      <c r="C21" s="1">
        <v>9.8477617368475661E-4</v>
      </c>
      <c r="D21" s="1">
        <f t="shared" ref="D21" si="8">D20/D7</f>
        <v>1.8679563724241881E-3</v>
      </c>
      <c r="E21" s="5">
        <v>2E-3</v>
      </c>
    </row>
    <row r="22" spans="1:14" x14ac:dyDescent="0.35">
      <c r="A22" t="s">
        <v>21</v>
      </c>
      <c r="B22">
        <v>225048.4</v>
      </c>
      <c r="C22">
        <v>252971.7</v>
      </c>
      <c r="D22">
        <v>270935.59999999998</v>
      </c>
      <c r="E22">
        <f>E7*E23</f>
        <v>301543.46093163296</v>
      </c>
      <c r="F22">
        <f t="shared" ref="F22:I22" si="9">F7*F23</f>
        <v>330522.23970846052</v>
      </c>
      <c r="G22">
        <f t="shared" si="9"/>
        <v>363902.81759416341</v>
      </c>
      <c r="H22">
        <f t="shared" si="9"/>
        <v>402372.05106938328</v>
      </c>
      <c r="I22">
        <f t="shared" si="9"/>
        <v>447194.77576511906</v>
      </c>
    </row>
    <row r="23" spans="1:14" x14ac:dyDescent="0.35">
      <c r="B23" s="3">
        <v>0.58566059497606071</v>
      </c>
      <c r="C23" s="3">
        <v>0.58451549220208388</v>
      </c>
      <c r="D23" s="3">
        <f t="shared" ref="D23" si="10">D22/D7</f>
        <v>0.55866638761074161</v>
      </c>
      <c r="E23" s="4">
        <v>0.56000000000000005</v>
      </c>
      <c r="F23" s="4">
        <v>0.55000000000000004</v>
      </c>
      <c r="G23" s="4">
        <v>0.54</v>
      </c>
      <c r="H23" s="4">
        <v>0.53</v>
      </c>
      <c r="I23" s="4">
        <v>0.52</v>
      </c>
    </row>
    <row r="24" spans="1:14" x14ac:dyDescent="0.35">
      <c r="A24" t="s">
        <v>22</v>
      </c>
      <c r="B24">
        <v>84962.4</v>
      </c>
      <c r="C24">
        <v>94386.6</v>
      </c>
      <c r="D24">
        <v>106959</v>
      </c>
      <c r="E24">
        <f>E7-(E11+E13+E18+E20+E22)</f>
        <v>114694.20924721041</v>
      </c>
      <c r="F24">
        <f t="shared" ref="F24:I24" si="11">F7-(F11+F13+F18+F20+F22)</f>
        <v>134011.74446361215</v>
      </c>
      <c r="G24">
        <f t="shared" si="11"/>
        <v>157017.32685081486</v>
      </c>
      <c r="H24">
        <f t="shared" si="11"/>
        <v>184483.7894525663</v>
      </c>
      <c r="I24">
        <f t="shared" si="11"/>
        <v>217577.45820879831</v>
      </c>
    </row>
    <row r="25" spans="1:14" x14ac:dyDescent="0.35">
      <c r="A25" s="6" t="s">
        <v>38</v>
      </c>
      <c r="B25" s="6">
        <v>135793.58000000002</v>
      </c>
      <c r="C25" s="6">
        <v>159464.63</v>
      </c>
      <c r="D25" s="6">
        <f t="shared" ref="D25:I25" si="12">D24+D16</f>
        <v>191259.01</v>
      </c>
      <c r="E25" s="7">
        <f t="shared" si="12"/>
        <v>218793.02150524707</v>
      </c>
      <c r="F25" s="7">
        <f t="shared" si="12"/>
        <v>258064.32600742343</v>
      </c>
      <c r="G25" s="7">
        <f t="shared" si="12"/>
        <v>301384.7636814958</v>
      </c>
      <c r="H25" s="7">
        <f t="shared" si="12"/>
        <v>349775.72876495589</v>
      </c>
      <c r="I25" s="7">
        <f t="shared" si="12"/>
        <v>404755.79657928384</v>
      </c>
      <c r="J25" s="7">
        <f>J7*J26</f>
        <v>470294.76697855402</v>
      </c>
      <c r="K25" s="7">
        <f t="shared" ref="K25:N25" si="13">K7*K26</f>
        <v>543987.43177364755</v>
      </c>
      <c r="L25" s="7">
        <f t="shared" si="13"/>
        <v>624726.69027106196</v>
      </c>
      <c r="M25" s="7">
        <f t="shared" si="13"/>
        <v>697678.01849047386</v>
      </c>
      <c r="N25" s="7">
        <f t="shared" si="13"/>
        <v>772682.86855336966</v>
      </c>
    </row>
    <row r="26" spans="1:14" x14ac:dyDescent="0.35">
      <c r="B26" s="9">
        <v>0.35338597766848956</v>
      </c>
      <c r="C26" s="9">
        <v>0.36845839551725817</v>
      </c>
      <c r="D26" s="9">
        <f t="shared" ref="D26:I26" si="14">D25/D7</f>
        <v>0.39437408821397674</v>
      </c>
      <c r="E26" s="9">
        <f t="shared" si="14"/>
        <v>0.40632316039749067</v>
      </c>
      <c r="F26" s="9">
        <f t="shared" si="14"/>
        <v>0.4294276216610356</v>
      </c>
      <c r="G26" s="9">
        <f t="shared" si="14"/>
        <v>0.44722866798330069</v>
      </c>
      <c r="H26" s="9">
        <f t="shared" si="14"/>
        <v>0.46072070799335985</v>
      </c>
      <c r="I26" s="9">
        <f t="shared" si="14"/>
        <v>0.47065177329301972</v>
      </c>
      <c r="J26" s="4">
        <v>0.48</v>
      </c>
      <c r="K26" s="4">
        <v>0.49</v>
      </c>
      <c r="L26" s="4">
        <v>0.5</v>
      </c>
      <c r="M26" s="4">
        <v>0.5</v>
      </c>
      <c r="N26" s="4">
        <v>0.5</v>
      </c>
    </row>
    <row r="27" spans="1:14" x14ac:dyDescent="0.35">
      <c r="A27" t="s">
        <v>23</v>
      </c>
      <c r="B27">
        <v>-8501.7999999999993</v>
      </c>
      <c r="C27">
        <v>-1645.5</v>
      </c>
      <c r="D27">
        <v>-10388.6</v>
      </c>
      <c r="E27">
        <f>E7*$E$30</f>
        <v>-5384.7046594934454</v>
      </c>
      <c r="F27">
        <f t="shared" ref="F27:I27" si="15">F7*$E$30</f>
        <v>-6009.4952674265542</v>
      </c>
      <c r="G27">
        <f t="shared" si="15"/>
        <v>-6738.941066558581</v>
      </c>
      <c r="H27">
        <f t="shared" si="15"/>
        <v>-7591.9254918751567</v>
      </c>
      <c r="I27">
        <f t="shared" si="15"/>
        <v>-8599.8995339445974</v>
      </c>
    </row>
    <row r="28" spans="1:14" x14ac:dyDescent="0.35">
      <c r="A28" t="s">
        <v>45</v>
      </c>
      <c r="B28" t="s">
        <v>46</v>
      </c>
      <c r="C28" s="4">
        <v>0.25</v>
      </c>
    </row>
    <row r="29" spans="1:14" x14ac:dyDescent="0.35">
      <c r="A29" t="s">
        <v>44</v>
      </c>
      <c r="B29">
        <v>88341.871404800011</v>
      </c>
      <c r="C29">
        <v>103741.3096928</v>
      </c>
      <c r="D29">
        <f t="shared" ref="D29:N29" si="16">D25*(1-0.34944)</f>
        <v>124425.46154560002</v>
      </c>
      <c r="E29">
        <f t="shared" si="16"/>
        <v>142337.98807045355</v>
      </c>
      <c r="F29">
        <f t="shared" si="16"/>
        <v>167886.32792738939</v>
      </c>
      <c r="G29">
        <f t="shared" si="16"/>
        <v>196068.87186063392</v>
      </c>
      <c r="H29">
        <f t="shared" si="16"/>
        <v>227550.0981053297</v>
      </c>
      <c r="I29">
        <f t="shared" si="16"/>
        <v>263317.9310226189</v>
      </c>
      <c r="J29">
        <f t="shared" si="16"/>
        <v>305954.9636055681</v>
      </c>
      <c r="K29">
        <f t="shared" si="16"/>
        <v>353896.46361466416</v>
      </c>
      <c r="L29">
        <f t="shared" si="16"/>
        <v>406422.19562274206</v>
      </c>
      <c r="M29">
        <f t="shared" si="16"/>
        <v>453881.4117091627</v>
      </c>
      <c r="N29">
        <f t="shared" si="16"/>
        <v>502676.56696608017</v>
      </c>
    </row>
    <row r="30" spans="1:14" x14ac:dyDescent="0.35">
      <c r="B30" s="3">
        <v>-2.212488178706213E-2</v>
      </c>
      <c r="C30" s="3">
        <v>-3.8020863298880029E-3</v>
      </c>
      <c r="D30" s="3">
        <f>D27/D7</f>
        <v>-2.1421185087278864E-2</v>
      </c>
      <c r="E30" s="4">
        <v>-0.01</v>
      </c>
    </row>
    <row r="31" spans="1:14" x14ac:dyDescent="0.35">
      <c r="A31" t="s">
        <v>39</v>
      </c>
      <c r="B31" s="8">
        <v>109779.27140480001</v>
      </c>
      <c r="C31" s="8">
        <v>129035.6096928</v>
      </c>
      <c r="D31" s="8">
        <f>D29+D18</f>
        <v>149991.86154560003</v>
      </c>
      <c r="E31" s="8">
        <f t="shared" ref="E31:N31" si="17">E29+E18</f>
        <v>174646.21602741422</v>
      </c>
      <c r="F31" s="8">
        <f t="shared" si="17"/>
        <v>203943.29953194869</v>
      </c>
      <c r="G31" s="8">
        <f t="shared" si="17"/>
        <v>236502.5182599854</v>
      </c>
      <c r="H31" s="8">
        <f t="shared" si="17"/>
        <v>273101.65105658065</v>
      </c>
      <c r="I31" s="8">
        <f t="shared" si="17"/>
        <v>314917.32822628645</v>
      </c>
      <c r="J31" s="8">
        <f>J29+J18</f>
        <v>364741.80947788735</v>
      </c>
      <c r="K31" s="8">
        <f t="shared" si="17"/>
        <v>420507.16954613122</v>
      </c>
      <c r="L31" s="8">
        <f t="shared" si="17"/>
        <v>481389.39845526952</v>
      </c>
      <c r="M31" s="8">
        <f t="shared" si="17"/>
        <v>537602.77392801957</v>
      </c>
      <c r="N31" s="8">
        <f t="shared" si="17"/>
        <v>595398.51119248453</v>
      </c>
    </row>
    <row r="32" spans="1:14" x14ac:dyDescent="0.35">
      <c r="A32" s="7" t="s">
        <v>41</v>
      </c>
      <c r="B32" s="11">
        <v>-26.200000000011642</v>
      </c>
      <c r="C32" s="11">
        <v>1848.4000000000087</v>
      </c>
      <c r="D32" s="11">
        <v>-536.80000000000291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</row>
    <row r="33" spans="1:24" x14ac:dyDescent="0.35">
      <c r="A33" t="s">
        <v>42</v>
      </c>
      <c r="B33" s="10">
        <v>-6.8182255854205625E-5</v>
      </c>
      <c r="C33" s="10">
        <v>4.2709063337374766E-3</v>
      </c>
      <c r="D33" s="10">
        <f>D32/D7</f>
        <v>-1.1068760135967653E-3</v>
      </c>
      <c r="E33" s="9">
        <v>0</v>
      </c>
      <c r="F33" s="9"/>
      <c r="G33" s="9"/>
      <c r="H33" s="9"/>
      <c r="I33" s="9"/>
      <c r="J33" s="4"/>
      <c r="K33" s="4"/>
      <c r="L33" s="4"/>
      <c r="M33" s="4"/>
      <c r="N33" s="4"/>
    </row>
    <row r="34" spans="1:24" x14ac:dyDescent="0.35">
      <c r="A34" s="7" t="s">
        <v>40</v>
      </c>
      <c r="B34" s="7">
        <v>26013.299999999988</v>
      </c>
      <c r="C34" s="7">
        <v>71012.400000000023</v>
      </c>
      <c r="D34" s="7">
        <v>-15920.5</v>
      </c>
      <c r="E34" s="7">
        <v>-82770.04074718499</v>
      </c>
      <c r="F34" s="7">
        <v>18851.342904601479</v>
      </c>
      <c r="G34" s="7">
        <v>99055.715098669345</v>
      </c>
      <c r="H34" s="7">
        <v>-23686.022071539792</v>
      </c>
      <c r="I34" s="7">
        <v>-122448.01626215833</v>
      </c>
      <c r="J34" s="7">
        <v>28893.70453689239</v>
      </c>
      <c r="K34" s="7">
        <v>137195.27354997577</v>
      </c>
      <c r="L34" s="7">
        <v>-34550.015206363605</v>
      </c>
      <c r="M34" s="7">
        <v>-162822.72771828101</v>
      </c>
      <c r="N34" s="7">
        <v>40747.16691767233</v>
      </c>
    </row>
    <row r="35" spans="1:24" x14ac:dyDescent="0.35">
      <c r="A35" s="7" t="s">
        <v>43</v>
      </c>
      <c r="B35" s="11">
        <v>83792.171404800029</v>
      </c>
      <c r="C35" s="11">
        <v>56174.809692799972</v>
      </c>
      <c r="D35" s="11">
        <f t="shared" ref="D35:N35" si="18">D31-D32-D34</f>
        <v>166449.16154560004</v>
      </c>
      <c r="E35" s="11">
        <f t="shared" si="18"/>
        <v>257416.2567745992</v>
      </c>
      <c r="F35" s="11">
        <f t="shared" si="18"/>
        <v>185091.95662734722</v>
      </c>
      <c r="G35" s="11">
        <f t="shared" si="18"/>
        <v>137446.80316131606</v>
      </c>
      <c r="H35" s="11">
        <f t="shared" si="18"/>
        <v>296787.67312812043</v>
      </c>
      <c r="I35" s="11">
        <f t="shared" si="18"/>
        <v>437365.3444884448</v>
      </c>
      <c r="J35" s="11">
        <f t="shared" si="18"/>
        <v>335848.10494099493</v>
      </c>
      <c r="K35" s="11">
        <f t="shared" si="18"/>
        <v>283311.89599615545</v>
      </c>
      <c r="L35" s="11">
        <f t="shared" si="18"/>
        <v>515939.41366163315</v>
      </c>
      <c r="M35" s="11">
        <f t="shared" si="18"/>
        <v>700425.50164630054</v>
      </c>
      <c r="N35" s="11">
        <f t="shared" si="18"/>
        <v>554651.34427481215</v>
      </c>
      <c r="P35" s="10"/>
      <c r="Q35" s="10"/>
      <c r="R35" s="10"/>
      <c r="S35" s="10"/>
      <c r="T35" s="10"/>
      <c r="U35" s="10"/>
      <c r="V35" s="10"/>
      <c r="W35" s="10"/>
      <c r="X35" s="10"/>
    </row>
    <row r="36" spans="1:24" x14ac:dyDescent="0.35">
      <c r="A36" t="s">
        <v>133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>
        <f>N35*(1+U7)/(B38-U7)</f>
        <v>9071090.4463047143</v>
      </c>
    </row>
    <row r="37" spans="1:24" x14ac:dyDescent="0.35">
      <c r="A37" t="s">
        <v>134</v>
      </c>
      <c r="B37" s="43">
        <f t="shared" ref="B37:N37" si="19">B35+B36</f>
        <v>83792.171404800029</v>
      </c>
      <c r="C37" s="43">
        <f t="shared" si="19"/>
        <v>56174.809692799972</v>
      </c>
      <c r="D37" s="43">
        <f t="shared" si="19"/>
        <v>166449.16154560004</v>
      </c>
      <c r="E37" s="43">
        <f t="shared" si="19"/>
        <v>257416.2567745992</v>
      </c>
      <c r="F37" s="43">
        <f t="shared" si="19"/>
        <v>185091.95662734722</v>
      </c>
      <c r="G37" s="43">
        <f t="shared" si="19"/>
        <v>137446.80316131606</v>
      </c>
      <c r="H37" s="43">
        <f t="shared" si="19"/>
        <v>296787.67312812043</v>
      </c>
      <c r="I37" s="43">
        <f t="shared" si="19"/>
        <v>437365.3444884448</v>
      </c>
      <c r="J37" s="43">
        <f t="shared" si="19"/>
        <v>335848.10494099493</v>
      </c>
      <c r="K37" s="43">
        <f t="shared" si="19"/>
        <v>283311.89599615545</v>
      </c>
      <c r="L37" s="43">
        <f t="shared" si="19"/>
        <v>515939.41366163315</v>
      </c>
      <c r="M37" s="43">
        <f t="shared" si="19"/>
        <v>700425.50164630054</v>
      </c>
      <c r="N37" s="43">
        <f t="shared" si="19"/>
        <v>9625741.7905795258</v>
      </c>
    </row>
    <row r="38" spans="1:24" s="2" customFormat="1" x14ac:dyDescent="0.35">
      <c r="A38" t="s">
        <v>105</v>
      </c>
      <c r="B38" s="5">
        <f>WACC!D28</f>
        <v>9.3700873940248675E-2</v>
      </c>
      <c r="C38"/>
      <c r="D38"/>
      <c r="E38"/>
      <c r="F38"/>
      <c r="G38"/>
      <c r="H38"/>
      <c r="I38"/>
    </row>
    <row r="39" spans="1:24" s="2" customFormat="1" x14ac:dyDescent="0.35">
      <c r="A39" t="s">
        <v>131</v>
      </c>
      <c r="B39" t="s">
        <v>132</v>
      </c>
      <c r="C39" t="s">
        <v>132</v>
      </c>
      <c r="D39">
        <v>1</v>
      </c>
      <c r="E39">
        <f>1/(1+$B$38)^1</f>
        <v>0.91432678150592039</v>
      </c>
      <c r="F39">
        <f>1/(1+$B$38)^2</f>
        <v>0.83599346337897507</v>
      </c>
      <c r="G39">
        <f>1/(1+$B$38)^3</f>
        <v>0.76437121273128583</v>
      </c>
      <c r="H39">
        <f>1/(1+$B$38)^4</f>
        <v>0.69888507081237372</v>
      </c>
      <c r="I39">
        <f>1/(1+$B$38)^5</f>
        <v>0.63900933743841504</v>
      </c>
      <c r="J39">
        <f>1/(1+$B$38)^6</f>
        <v>0.58426335085229664</v>
      </c>
      <c r="K39">
        <f>1/(1+$B$38)^7</f>
        <v>0.53420762913664466</v>
      </c>
      <c r="L39">
        <f>1/(1+$B$38)^8</f>
        <v>0.48844034220441668</v>
      </c>
      <c r="M39">
        <f>1/(1+$B$38)^9</f>
        <v>0.44659408604541462</v>
      </c>
      <c r="N39">
        <f>1/(1+$B$38)^10</f>
        <v>0.40833293333348208</v>
      </c>
    </row>
    <row r="40" spans="1:24" s="2" customFormat="1" x14ac:dyDescent="0.35">
      <c r="A40" t="s">
        <v>241</v>
      </c>
      <c r="B40">
        <f>SUMPRODUCT(D35:N35,D39:N39)</f>
        <v>2287373.8338809242</v>
      </c>
      <c r="C40"/>
      <c r="D40"/>
      <c r="E40"/>
      <c r="F40"/>
      <c r="G40"/>
      <c r="H40"/>
      <c r="I40"/>
      <c r="J40"/>
      <c r="K40"/>
      <c r="L40"/>
      <c r="M40"/>
      <c r="N40"/>
    </row>
    <row r="41" spans="1:24" x14ac:dyDescent="0.35">
      <c r="A41" t="s">
        <v>135</v>
      </c>
      <c r="B41" s="44">
        <f>SUMPRODUCT(D37:N37,D39:N39)</f>
        <v>5991398.8043538528</v>
      </c>
      <c r="E41" s="2"/>
      <c r="F41" s="2"/>
      <c r="G41" s="2"/>
      <c r="H41" s="2"/>
      <c r="I41" s="2"/>
    </row>
    <row r="42" spans="1:24" x14ac:dyDescent="0.35">
      <c r="A42" s="67" t="s">
        <v>242</v>
      </c>
      <c r="B42" s="67">
        <f>((B40+(N35*(1+U7)/(B38-U7)/(1+$B$38)^10))-B43+B44)/B47</f>
        <v>2535.7459377388732</v>
      </c>
      <c r="E42" s="2"/>
      <c r="F42" s="2"/>
      <c r="G42" s="2"/>
      <c r="H42" s="2"/>
      <c r="I42" s="2"/>
    </row>
    <row r="43" spans="1:24" x14ac:dyDescent="0.35">
      <c r="A43" t="s">
        <v>164</v>
      </c>
      <c r="B43">
        <v>3036.2</v>
      </c>
    </row>
    <row r="44" spans="1:24" x14ac:dyDescent="0.35">
      <c r="A44" t="s">
        <v>167</v>
      </c>
      <c r="B44">
        <v>105206.8</v>
      </c>
    </row>
    <row r="45" spans="1:24" x14ac:dyDescent="0.35">
      <c r="A45" t="s">
        <v>165</v>
      </c>
      <c r="B45">
        <f>B41-B43+B44</f>
        <v>6093569.4043538524</v>
      </c>
    </row>
    <row r="47" spans="1:24" x14ac:dyDescent="0.35">
      <c r="A47" t="s">
        <v>166</v>
      </c>
      <c r="B47" s="57">
        <f>2403067797/1000000</f>
        <v>2403.0677970000002</v>
      </c>
    </row>
    <row r="48" spans="1:24" x14ac:dyDescent="0.35">
      <c r="A48" s="60" t="s">
        <v>238</v>
      </c>
      <c r="B48" s="61">
        <f>B45/B47</f>
        <v>2535.7459377388727</v>
      </c>
    </row>
    <row r="49" spans="1:8" x14ac:dyDescent="0.35">
      <c r="A49" s="61" t="s">
        <v>179</v>
      </c>
      <c r="B49" s="62">
        <f>(B48-'Relative Valuation'!D6)/'Relative Valuation'!D6</f>
        <v>0.51954812748396872</v>
      </c>
    </row>
    <row r="52" spans="1:8" x14ac:dyDescent="0.35">
      <c r="C52" s="2" t="s">
        <v>105</v>
      </c>
    </row>
    <row r="53" spans="1:8" ht="18.5" x14ac:dyDescent="0.45">
      <c r="A53" s="65" t="s">
        <v>239</v>
      </c>
      <c r="B53">
        <f>B42</f>
        <v>2535.7459377388732</v>
      </c>
      <c r="C53" s="69">
        <v>0.06</v>
      </c>
      <c r="D53" s="70">
        <v>7.0000000000000007E-2</v>
      </c>
      <c r="E53" s="69">
        <v>0.08</v>
      </c>
      <c r="F53" s="69">
        <v>0.09</v>
      </c>
      <c r="G53" s="69">
        <v>0.1</v>
      </c>
      <c r="H53" s="70">
        <v>0.11</v>
      </c>
    </row>
    <row r="54" spans="1:8" x14ac:dyDescent="0.35">
      <c r="B54" s="69">
        <v>5.0000000000000001E-3</v>
      </c>
      <c r="C54" s="68">
        <f t="dataTable" ref="C54:H59" dt2D="1" dtr="1" r1="B38" r2="U7"/>
        <v>3531.3257324497531</v>
      </c>
      <c r="D54" s="68">
        <v>2931.3536091166479</v>
      </c>
      <c r="E54" s="68">
        <v>2495.2174469861857</v>
      </c>
      <c r="F54" s="68">
        <v>2164.8626102204457</v>
      </c>
      <c r="G54" s="68">
        <v>1906.693793820597</v>
      </c>
      <c r="H54" s="68">
        <v>1699.9266461376935</v>
      </c>
    </row>
    <row r="55" spans="1:8" x14ac:dyDescent="0.35">
      <c r="B55" s="69">
        <v>0.01</v>
      </c>
      <c r="C55" s="68">
        <v>3779.7182844285003</v>
      </c>
      <c r="D55" s="68">
        <v>3092.308969368305</v>
      </c>
      <c r="E55" s="68">
        <v>2605.1815530017734</v>
      </c>
      <c r="F55" s="68">
        <v>2243.0031949007371</v>
      </c>
      <c r="G55" s="68">
        <v>1963.936976140852</v>
      </c>
      <c r="H55" s="68">
        <v>1742.8929447561704</v>
      </c>
    </row>
    <row r="56" spans="1:8" x14ac:dyDescent="0.35">
      <c r="A56" s="2" t="s">
        <v>240</v>
      </c>
      <c r="B56" s="69">
        <v>1.4999999999999999E-2</v>
      </c>
      <c r="C56" s="68">
        <v>4083.3091812914108</v>
      </c>
      <c r="D56" s="68">
        <v>3282.5289405748085</v>
      </c>
      <c r="E56" s="68">
        <v>2732.0632137889897</v>
      </c>
      <c r="F56" s="68">
        <v>2331.5625242050664</v>
      </c>
      <c r="G56" s="68">
        <v>2027.9146504987846</v>
      </c>
      <c r="H56" s="68">
        <v>1790.3820116502766</v>
      </c>
    </row>
    <row r="57" spans="1:8" x14ac:dyDescent="0.35">
      <c r="B57" s="70">
        <v>0.03</v>
      </c>
      <c r="C57" s="68">
        <v>5601.2636656059649</v>
      </c>
      <c r="D57" s="68">
        <v>4138.5188110040781</v>
      </c>
      <c r="E57" s="68">
        <v>3264.9661890952984</v>
      </c>
      <c r="F57" s="68">
        <v>2685.7998414223844</v>
      </c>
      <c r="G57" s="68">
        <v>2274.6856801650947</v>
      </c>
      <c r="H57" s="68">
        <v>1968.4660125031749</v>
      </c>
    </row>
    <row r="58" spans="1:8" x14ac:dyDescent="0.35">
      <c r="B58" s="69">
        <v>3.5000000000000003E-2</v>
      </c>
      <c r="C58" s="68">
        <v>6512.036356194697</v>
      </c>
      <c r="D58" s="68">
        <v>4586.8944574194084</v>
      </c>
      <c r="E58" s="68">
        <v>3521.5491031316697</v>
      </c>
      <c r="F58" s="68">
        <v>2846.8168037938922</v>
      </c>
      <c r="G58" s="68">
        <v>2382.2525392504099</v>
      </c>
      <c r="H58" s="68">
        <v>2043.6570350855093</v>
      </c>
    </row>
    <row r="59" spans="1:8" x14ac:dyDescent="0.35">
      <c r="B59" s="70">
        <v>0.04</v>
      </c>
      <c r="C59" s="68">
        <v>7878.1953920777978</v>
      </c>
      <c r="D59" s="68">
        <v>5184.7286526398511</v>
      </c>
      <c r="E59" s="68">
        <v>3842.2777456771341</v>
      </c>
      <c r="F59" s="68">
        <v>3040.0371586397027</v>
      </c>
      <c r="G59" s="68">
        <v>2507.7472081832775</v>
      </c>
      <c r="H59" s="68">
        <v>2129.5896323224633</v>
      </c>
    </row>
  </sheetData>
  <mergeCells count="1">
    <mergeCell ref="C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C681-3479-4F10-8380-7CFD6189E890}">
  <dimension ref="A2:X58"/>
  <sheetViews>
    <sheetView topLeftCell="A43" workbookViewId="0">
      <selection activeCell="A51" sqref="A51:H58"/>
    </sheetView>
  </sheetViews>
  <sheetFormatPr defaultRowHeight="14.5" x14ac:dyDescent="0.35"/>
  <cols>
    <col min="1" max="1" width="33.36328125" bestFit="1" customWidth="1"/>
    <col min="2" max="4" width="12" bestFit="1" customWidth="1"/>
    <col min="16" max="16" width="15.6328125" bestFit="1" customWidth="1"/>
  </cols>
  <sheetData>
    <row r="2" spans="1:21" ht="18.5" x14ac:dyDescent="0.45">
      <c r="C2" s="76" t="s">
        <v>129</v>
      </c>
      <c r="D2" s="76"/>
      <c r="E2" s="76"/>
      <c r="F2" s="76"/>
    </row>
    <row r="4" spans="1:21" x14ac:dyDescent="0.35">
      <c r="A4" s="2" t="s">
        <v>130</v>
      </c>
      <c r="B4" t="s">
        <v>4</v>
      </c>
      <c r="C4" t="s">
        <v>5</v>
      </c>
      <c r="D4" s="2" t="s">
        <v>6</v>
      </c>
      <c r="E4" s="2" t="s">
        <v>24</v>
      </c>
      <c r="F4" s="2" t="s">
        <v>34</v>
      </c>
      <c r="G4" s="2" t="s">
        <v>25</v>
      </c>
      <c r="H4" s="2" t="s">
        <v>26</v>
      </c>
      <c r="I4" s="2" t="s">
        <v>35</v>
      </c>
      <c r="J4" s="2" t="s">
        <v>36</v>
      </c>
      <c r="K4" s="2" t="s">
        <v>27</v>
      </c>
      <c r="L4" s="2" t="s">
        <v>28</v>
      </c>
      <c r="M4" s="2" t="s">
        <v>29</v>
      </c>
      <c r="N4" s="2" t="s">
        <v>30</v>
      </c>
    </row>
    <row r="5" spans="1:21" x14ac:dyDescent="0.35">
      <c r="A5" t="s">
        <v>0</v>
      </c>
      <c r="B5">
        <v>384264.2</v>
      </c>
      <c r="C5">
        <v>432788.7</v>
      </c>
      <c r="D5">
        <v>477584.5</v>
      </c>
      <c r="S5" t="s">
        <v>48</v>
      </c>
    </row>
    <row r="6" spans="1:21" x14ac:dyDescent="0.35">
      <c r="Q6" s="4">
        <v>0.31</v>
      </c>
      <c r="R6" t="s">
        <v>33</v>
      </c>
      <c r="S6" s="4">
        <v>0.04</v>
      </c>
      <c r="U6" t="s">
        <v>49</v>
      </c>
    </row>
    <row r="7" spans="1:21" x14ac:dyDescent="0.35">
      <c r="A7" t="s">
        <v>14</v>
      </c>
      <c r="B7">
        <v>384264.2</v>
      </c>
      <c r="C7">
        <v>432788.7</v>
      </c>
      <c r="D7" s="16">
        <f>'Revenue Projection'!C23</f>
        <v>484968.50000000006</v>
      </c>
      <c r="E7" s="16">
        <f>'Revenue Projection'!D23</f>
        <v>519252.86313900002</v>
      </c>
      <c r="F7" s="16">
        <f>'Revenue Projection'!E23</f>
        <v>556135.73502791312</v>
      </c>
      <c r="G7" s="16">
        <f>'Revenue Projection'!F23</f>
        <v>595825.42503329914</v>
      </c>
      <c r="H7" s="16">
        <f>'Revenue Projection'!G23</f>
        <v>638547.7130599604</v>
      </c>
      <c r="I7" s="16">
        <f>'Revenue Projection'!H23</f>
        <v>684547.36866713595</v>
      </c>
      <c r="J7" s="16">
        <f>'Revenue Projection'!I23</f>
        <v>732515.06228769536</v>
      </c>
      <c r="K7" s="16">
        <f>'Revenue Projection'!J23</f>
        <v>784132.30460952502</v>
      </c>
      <c r="L7" s="16">
        <f>'Revenue Projection'!K23</f>
        <v>839695.66349951143</v>
      </c>
      <c r="M7" s="16">
        <f>'Revenue Projection'!L23</f>
        <v>899527.04475366801</v>
      </c>
      <c r="N7" s="16">
        <f>'Revenue Projection'!M23</f>
        <v>963975.9384612944</v>
      </c>
      <c r="Q7" s="4">
        <v>0.32</v>
      </c>
      <c r="R7" t="s">
        <v>32</v>
      </c>
      <c r="S7" s="5">
        <v>0.02</v>
      </c>
      <c r="U7" s="12">
        <f>Q6*S6+Q7*S7+Q8*S8</f>
        <v>3.0679999999999999E-2</v>
      </c>
    </row>
    <row r="8" spans="1:21" x14ac:dyDescent="0.35">
      <c r="A8" t="s">
        <v>1</v>
      </c>
      <c r="B8" t="s">
        <v>13</v>
      </c>
      <c r="C8" t="s">
        <v>13</v>
      </c>
      <c r="D8" t="s">
        <v>13</v>
      </c>
      <c r="Q8" s="4">
        <f>1-Q7-Q7</f>
        <v>0.35999999999999993</v>
      </c>
      <c r="R8" t="s">
        <v>47</v>
      </c>
      <c r="S8" s="5">
        <v>3.3000000000000002E-2</v>
      </c>
    </row>
    <row r="9" spans="1:21" x14ac:dyDescent="0.35">
      <c r="A9" t="s">
        <v>15</v>
      </c>
      <c r="B9">
        <v>2280.6999999999998</v>
      </c>
      <c r="C9">
        <v>6068.1</v>
      </c>
      <c r="D9">
        <v>7384</v>
      </c>
    </row>
    <row r="10" spans="1:21" x14ac:dyDescent="0.35">
      <c r="A10" t="s">
        <v>16</v>
      </c>
      <c r="B10">
        <v>301582.5</v>
      </c>
      <c r="C10">
        <v>344470.2</v>
      </c>
      <c r="D10">
        <v>378009.5</v>
      </c>
    </row>
    <row r="11" spans="1:21" x14ac:dyDescent="0.35">
      <c r="A11" t="s">
        <v>17</v>
      </c>
      <c r="B11">
        <v>32817.300000000003</v>
      </c>
      <c r="C11">
        <v>42921.8</v>
      </c>
      <c r="D11">
        <v>49677.9</v>
      </c>
      <c r="E11">
        <f>E7*$E$12</f>
        <v>51925.286313900004</v>
      </c>
      <c r="F11">
        <f t="shared" ref="F11:I11" si="0">F7*$E$12</f>
        <v>55613.573502791318</v>
      </c>
      <c r="G11">
        <f t="shared" si="0"/>
        <v>59582.542503329918</v>
      </c>
      <c r="H11">
        <f t="shared" si="0"/>
        <v>63854.771305996044</v>
      </c>
      <c r="I11">
        <f t="shared" si="0"/>
        <v>68454.736866713603</v>
      </c>
    </row>
    <row r="12" spans="1:21" x14ac:dyDescent="0.35">
      <c r="B12" s="3">
        <v>8.5402959734474357E-2</v>
      </c>
      <c r="C12" s="3">
        <v>9.9174955353501612E-2</v>
      </c>
      <c r="D12" s="3">
        <f t="shared" ref="D12" si="1">D11/D7</f>
        <v>0.10243531280897625</v>
      </c>
      <c r="E12" s="4">
        <v>0.1</v>
      </c>
    </row>
    <row r="13" spans="1:21" x14ac:dyDescent="0.35">
      <c r="A13" t="s">
        <v>18</v>
      </c>
      <c r="B13">
        <v>22103.7</v>
      </c>
      <c r="C13">
        <v>22856.2</v>
      </c>
      <c r="D13">
        <v>30923.7</v>
      </c>
      <c r="E13">
        <f>E7*$E$14</f>
        <v>33751.436104035005</v>
      </c>
      <c r="F13">
        <f t="shared" ref="F13:I13" si="2">F7*$E$14</f>
        <v>36148.822776814355</v>
      </c>
      <c r="G13">
        <f t="shared" si="2"/>
        <v>38728.652627164447</v>
      </c>
      <c r="H13">
        <f t="shared" si="2"/>
        <v>41505.601348897428</v>
      </c>
      <c r="I13">
        <f t="shared" si="2"/>
        <v>44495.578963363841</v>
      </c>
    </row>
    <row r="14" spans="1:21" x14ac:dyDescent="0.35">
      <c r="E14" s="5">
        <v>6.5000000000000002E-2</v>
      </c>
    </row>
    <row r="15" spans="1:21" x14ac:dyDescent="0.35">
      <c r="A15" t="s">
        <v>37</v>
      </c>
      <c r="B15">
        <v>6323.73</v>
      </c>
      <c r="C15">
        <v>8609.3499999999985</v>
      </c>
      <c r="D15">
        <f t="shared" ref="D15:I15" si="3">C15+D13/10</f>
        <v>11701.719999999998</v>
      </c>
      <c r="E15">
        <f t="shared" si="3"/>
        <v>15076.863610403498</v>
      </c>
      <c r="F15">
        <f t="shared" si="3"/>
        <v>18691.745888084934</v>
      </c>
      <c r="G15">
        <f t="shared" si="3"/>
        <v>22564.611150801378</v>
      </c>
      <c r="H15">
        <f t="shared" si="3"/>
        <v>26715.171285691122</v>
      </c>
      <c r="I15">
        <f t="shared" si="3"/>
        <v>31164.729182027506</v>
      </c>
    </row>
    <row r="16" spans="1:21" x14ac:dyDescent="0.35">
      <c r="A16" t="s">
        <v>31</v>
      </c>
      <c r="B16">
        <v>50831.180000000008</v>
      </c>
      <c r="C16">
        <v>65078.030000000006</v>
      </c>
      <c r="D16">
        <f t="shared" ref="D16:I16" si="4">C16+D13-D15</f>
        <v>84300.010000000009</v>
      </c>
      <c r="E16">
        <f t="shared" si="4"/>
        <v>102974.58249363152</v>
      </c>
      <c r="F16">
        <f t="shared" si="4"/>
        <v>120431.65938236093</v>
      </c>
      <c r="G16">
        <f t="shared" si="4"/>
        <v>136595.70085872398</v>
      </c>
      <c r="H16">
        <f t="shared" si="4"/>
        <v>151386.13092193028</v>
      </c>
      <c r="I16">
        <f t="shared" si="4"/>
        <v>164716.9807032666</v>
      </c>
    </row>
    <row r="17" spans="1:14" x14ac:dyDescent="0.35">
      <c r="E17" s="5"/>
    </row>
    <row r="18" spans="1:14" x14ac:dyDescent="0.35">
      <c r="A18" t="s">
        <v>19</v>
      </c>
      <c r="B18">
        <v>21437.4</v>
      </c>
      <c r="C18">
        <v>25294.3</v>
      </c>
      <c r="D18">
        <v>25566.400000000001</v>
      </c>
      <c r="E18">
        <f>E7*$E$19</f>
        <v>31155.171788340002</v>
      </c>
      <c r="F18">
        <f t="shared" ref="F18:N18" si="5">F7*$E$19</f>
        <v>33368.144101674785</v>
      </c>
      <c r="G18">
        <f t="shared" si="5"/>
        <v>35749.525501997945</v>
      </c>
      <c r="H18">
        <f t="shared" si="5"/>
        <v>38312.862783597622</v>
      </c>
      <c r="I18">
        <f t="shared" si="5"/>
        <v>41072.842120028152</v>
      </c>
      <c r="J18">
        <f t="shared" si="5"/>
        <v>43950.903737261717</v>
      </c>
      <c r="K18">
        <f t="shared" si="5"/>
        <v>47047.938276571498</v>
      </c>
      <c r="L18">
        <f t="shared" si="5"/>
        <v>50381.739809970684</v>
      </c>
      <c r="M18">
        <f t="shared" si="5"/>
        <v>53971.622685220078</v>
      </c>
      <c r="N18">
        <f t="shared" si="5"/>
        <v>57838.55630767766</v>
      </c>
    </row>
    <row r="19" spans="1:14" x14ac:dyDescent="0.35">
      <c r="B19" s="3">
        <v>5.5788179070545736E-2</v>
      </c>
      <c r="C19" s="3">
        <v>5.8444917808621155E-2</v>
      </c>
      <c r="D19" s="3">
        <f t="shared" ref="D19" si="6">D18/D7</f>
        <v>5.2717650734016741E-2</v>
      </c>
      <c r="E19" s="4">
        <v>0.06</v>
      </c>
    </row>
    <row r="20" spans="1:14" x14ac:dyDescent="0.35">
      <c r="A20" t="s">
        <v>20</v>
      </c>
      <c r="B20">
        <v>175.7</v>
      </c>
      <c r="C20">
        <v>426.2</v>
      </c>
      <c r="D20">
        <v>905.9</v>
      </c>
      <c r="E20">
        <f>E7*$E$21</f>
        <v>1038.5057262780001</v>
      </c>
      <c r="F20">
        <f t="shared" ref="F20:I20" si="7">F7*$E$21</f>
        <v>1112.2714700558263</v>
      </c>
      <c r="G20">
        <f t="shared" si="7"/>
        <v>1191.6508500665982</v>
      </c>
      <c r="H20">
        <f t="shared" si="7"/>
        <v>1277.0954261199208</v>
      </c>
      <c r="I20">
        <f t="shared" si="7"/>
        <v>1369.0947373342719</v>
      </c>
    </row>
    <row r="21" spans="1:14" x14ac:dyDescent="0.35">
      <c r="B21" s="1">
        <v>4.5723749441139712E-4</v>
      </c>
      <c r="C21" s="1">
        <v>9.8477617368475661E-4</v>
      </c>
      <c r="D21" s="1">
        <f t="shared" ref="D21" si="8">D20/D7</f>
        <v>1.8679563724241881E-3</v>
      </c>
      <c r="E21" s="5">
        <v>2E-3</v>
      </c>
    </row>
    <row r="22" spans="1:14" x14ac:dyDescent="0.35">
      <c r="A22" t="s">
        <v>21</v>
      </c>
      <c r="B22">
        <v>225048.4</v>
      </c>
      <c r="C22">
        <v>252971.7</v>
      </c>
      <c r="D22">
        <v>270935.59999999998</v>
      </c>
      <c r="E22">
        <f>E7*E23</f>
        <v>290781.60335784004</v>
      </c>
      <c r="F22">
        <f t="shared" ref="F22:I22" si="9">F7*F23</f>
        <v>305874.65426535223</v>
      </c>
      <c r="G22">
        <f t="shared" si="9"/>
        <v>321745.72951798153</v>
      </c>
      <c r="H22">
        <f t="shared" si="9"/>
        <v>338430.28792177903</v>
      </c>
      <c r="I22">
        <f t="shared" si="9"/>
        <v>355964.63170691073</v>
      </c>
    </row>
    <row r="23" spans="1:14" x14ac:dyDescent="0.35">
      <c r="B23" s="3">
        <v>0.58566059497606071</v>
      </c>
      <c r="C23" s="3">
        <v>0.58451549220208388</v>
      </c>
      <c r="D23" s="3">
        <f t="shared" ref="D23" si="10">D22/D7</f>
        <v>0.55866638761074161</v>
      </c>
      <c r="E23" s="4">
        <v>0.56000000000000005</v>
      </c>
      <c r="F23" s="4">
        <v>0.55000000000000004</v>
      </c>
      <c r="G23" s="4">
        <v>0.54</v>
      </c>
      <c r="H23" s="4">
        <v>0.53</v>
      </c>
      <c r="I23" s="4">
        <v>0.52</v>
      </c>
    </row>
    <row r="24" spans="1:14" x14ac:dyDescent="0.35">
      <c r="A24" t="s">
        <v>22</v>
      </c>
      <c r="B24">
        <v>84962.4</v>
      </c>
      <c r="C24">
        <v>94386.6</v>
      </c>
      <c r="D24">
        <v>106959</v>
      </c>
      <c r="E24">
        <f>E7-(E11+E13+E18+E20+E22)</f>
        <v>110600.85984860698</v>
      </c>
      <c r="F24">
        <f t="shared" ref="F24:I24" si="11">F7-(F11+F13+F18+F20+F22)</f>
        <v>124018.26891122462</v>
      </c>
      <c r="G24">
        <f t="shared" si="11"/>
        <v>138827.32403275871</v>
      </c>
      <c r="H24">
        <f t="shared" si="11"/>
        <v>155167.09427357034</v>
      </c>
      <c r="I24">
        <f t="shared" si="11"/>
        <v>173190.48427278537</v>
      </c>
    </row>
    <row r="25" spans="1:14" x14ac:dyDescent="0.35">
      <c r="A25" s="6" t="s">
        <v>38</v>
      </c>
      <c r="B25" s="6">
        <v>135793.58000000002</v>
      </c>
      <c r="C25" s="6">
        <v>159464.63</v>
      </c>
      <c r="D25" s="6">
        <f t="shared" ref="D25:I25" si="12">D24+D16</f>
        <v>191259.01</v>
      </c>
      <c r="E25" s="7">
        <f t="shared" si="12"/>
        <v>213575.4423422385</v>
      </c>
      <c r="F25" s="7">
        <f t="shared" si="12"/>
        <v>244449.92829358554</v>
      </c>
      <c r="G25" s="7">
        <f t="shared" si="12"/>
        <v>275423.02489148267</v>
      </c>
      <c r="H25" s="7">
        <f t="shared" si="12"/>
        <v>306553.22519550065</v>
      </c>
      <c r="I25" s="7">
        <f t="shared" si="12"/>
        <v>337907.46497605194</v>
      </c>
      <c r="J25" s="7">
        <f>J7*J26</f>
        <v>351607.22989809373</v>
      </c>
      <c r="K25" s="7">
        <f t="shared" ref="K25:N25" si="13">K7*K26</f>
        <v>384224.82925866725</v>
      </c>
      <c r="L25" s="7">
        <f t="shared" si="13"/>
        <v>419847.83174975571</v>
      </c>
      <c r="M25" s="7">
        <f t="shared" si="13"/>
        <v>449763.52237683401</v>
      </c>
      <c r="N25" s="7">
        <f t="shared" si="13"/>
        <v>481987.9692306472</v>
      </c>
    </row>
    <row r="26" spans="1:14" x14ac:dyDescent="0.35">
      <c r="B26" s="9">
        <v>0.35338597766848956</v>
      </c>
      <c r="C26" s="9">
        <v>0.36845839551725817</v>
      </c>
      <c r="D26" s="9">
        <f t="shared" ref="D26:I26" si="14">D25/D7</f>
        <v>0.39437408821397674</v>
      </c>
      <c r="E26" s="9">
        <f t="shared" si="14"/>
        <v>0.41131297967454056</v>
      </c>
      <c r="F26" s="9">
        <f t="shared" si="14"/>
        <v>0.43955083785672633</v>
      </c>
      <c r="G26" s="9">
        <f t="shared" si="14"/>
        <v>0.46225456873729415</v>
      </c>
      <c r="H26" s="9">
        <f t="shared" si="14"/>
        <v>0.48007880840490136</v>
      </c>
      <c r="I26" s="9">
        <f t="shared" si="14"/>
        <v>0.4936217425449792</v>
      </c>
      <c r="J26" s="4">
        <v>0.48</v>
      </c>
      <c r="K26" s="4">
        <v>0.49</v>
      </c>
      <c r="L26" s="4">
        <v>0.5</v>
      </c>
      <c r="M26" s="4">
        <v>0.5</v>
      </c>
      <c r="N26" s="4">
        <v>0.5</v>
      </c>
    </row>
    <row r="27" spans="1:14" x14ac:dyDescent="0.35">
      <c r="A27" t="s">
        <v>23</v>
      </c>
      <c r="B27">
        <v>-8501.7999999999993</v>
      </c>
      <c r="C27">
        <v>-1645.5</v>
      </c>
      <c r="D27">
        <v>-10388.6</v>
      </c>
      <c r="E27">
        <f>E7*$E$30</f>
        <v>-5192.5286313900006</v>
      </c>
      <c r="F27">
        <f t="shared" ref="F27:I27" si="15">F7*$E$30</f>
        <v>-5561.3573502791314</v>
      </c>
      <c r="G27">
        <f t="shared" si="15"/>
        <v>-5958.2542503329914</v>
      </c>
      <c r="H27">
        <f t="shared" si="15"/>
        <v>-6385.4771305996037</v>
      </c>
      <c r="I27">
        <f t="shared" si="15"/>
        <v>-6845.4736866713592</v>
      </c>
    </row>
    <row r="28" spans="1:14" x14ac:dyDescent="0.35">
      <c r="A28" t="s">
        <v>45</v>
      </c>
      <c r="B28" t="s">
        <v>46</v>
      </c>
      <c r="C28" s="4">
        <v>0.25</v>
      </c>
    </row>
    <row r="29" spans="1:14" x14ac:dyDescent="0.35">
      <c r="A29" t="s">
        <v>44</v>
      </c>
      <c r="B29">
        <v>88341.871404800011</v>
      </c>
      <c r="C29">
        <v>103741.3096928</v>
      </c>
      <c r="D29">
        <f t="shared" ref="D29:N29" si="16">D25*(1-0.34944)</f>
        <v>124425.46154560002</v>
      </c>
      <c r="E29">
        <f t="shared" si="16"/>
        <v>138943.63977016669</v>
      </c>
      <c r="F29">
        <f t="shared" si="16"/>
        <v>159029.34535067502</v>
      </c>
      <c r="G29">
        <f t="shared" si="16"/>
        <v>179179.20307340298</v>
      </c>
      <c r="H29">
        <f t="shared" si="16"/>
        <v>199431.26618318493</v>
      </c>
      <c r="I29">
        <f t="shared" si="16"/>
        <v>219829.08041482035</v>
      </c>
      <c r="J29">
        <f t="shared" si="16"/>
        <v>228741.59948250387</v>
      </c>
      <c r="K29">
        <f t="shared" si="16"/>
        <v>249961.30492251858</v>
      </c>
      <c r="L29">
        <f t="shared" si="16"/>
        <v>273136.20542312111</v>
      </c>
      <c r="M29">
        <f t="shared" si="16"/>
        <v>292598.15711747314</v>
      </c>
      <c r="N29">
        <f t="shared" si="16"/>
        <v>313562.09326268983</v>
      </c>
    </row>
    <row r="30" spans="1:14" x14ac:dyDescent="0.35">
      <c r="B30" s="3">
        <v>-2.212488178706213E-2</v>
      </c>
      <c r="C30" s="3">
        <v>-3.8020863298880029E-3</v>
      </c>
      <c r="D30" s="3">
        <f>D27/D7</f>
        <v>-2.1421185087278864E-2</v>
      </c>
      <c r="E30" s="4">
        <v>-0.01</v>
      </c>
    </row>
    <row r="31" spans="1:14" x14ac:dyDescent="0.35">
      <c r="A31" t="s">
        <v>39</v>
      </c>
      <c r="B31" s="8">
        <v>109779.27140480001</v>
      </c>
      <c r="C31" s="8">
        <v>129035.6096928</v>
      </c>
      <c r="D31" s="8">
        <f t="shared" ref="D31:N31" si="17">D29+D18</f>
        <v>149991.86154560003</v>
      </c>
      <c r="E31" s="8">
        <f t="shared" si="17"/>
        <v>170098.81155850668</v>
      </c>
      <c r="F31" s="8">
        <f t="shared" si="17"/>
        <v>192397.48945234981</v>
      </c>
      <c r="G31" s="8">
        <f t="shared" si="17"/>
        <v>214928.72857540092</v>
      </c>
      <c r="H31" s="8">
        <f t="shared" si="17"/>
        <v>237744.12896678253</v>
      </c>
      <c r="I31" s="8">
        <f t="shared" si="17"/>
        <v>260901.92253484851</v>
      </c>
      <c r="J31" s="8">
        <f>J29+J18</f>
        <v>272692.50321976561</v>
      </c>
      <c r="K31" s="8">
        <f t="shared" si="17"/>
        <v>297009.24319909007</v>
      </c>
      <c r="L31" s="8">
        <f t="shared" si="17"/>
        <v>323517.94523309177</v>
      </c>
      <c r="M31" s="8">
        <f t="shared" si="17"/>
        <v>346569.77980269323</v>
      </c>
      <c r="N31" s="8">
        <f t="shared" si="17"/>
        <v>371400.64957036747</v>
      </c>
    </row>
    <row r="32" spans="1:14" x14ac:dyDescent="0.35">
      <c r="A32" s="7" t="s">
        <v>41</v>
      </c>
      <c r="B32" s="11">
        <v>-26.200000000011642</v>
      </c>
      <c r="C32" s="11">
        <v>1848.4000000000087</v>
      </c>
      <c r="D32" s="11">
        <v>-536.80000000000291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</row>
    <row r="33" spans="1:24" x14ac:dyDescent="0.35">
      <c r="A33" t="s">
        <v>42</v>
      </c>
      <c r="B33" s="10">
        <v>-6.8182255854205625E-5</v>
      </c>
      <c r="C33" s="10">
        <v>4.2709063337374766E-3</v>
      </c>
      <c r="D33" s="10">
        <f>D32/D7</f>
        <v>-1.1068760135967653E-3</v>
      </c>
      <c r="E33" s="9">
        <v>0</v>
      </c>
      <c r="F33" s="9"/>
      <c r="G33" s="9"/>
      <c r="H33" s="9"/>
      <c r="I33" s="9"/>
      <c r="J33" s="4"/>
      <c r="K33" s="4"/>
      <c r="L33" s="4"/>
      <c r="M33" s="4"/>
      <c r="N33" s="4"/>
    </row>
    <row r="34" spans="1:24" x14ac:dyDescent="0.35">
      <c r="A34" s="7" t="s">
        <v>40</v>
      </c>
      <c r="B34" s="7">
        <v>26013.299999999988</v>
      </c>
      <c r="C34" s="7">
        <v>71012.400000000023</v>
      </c>
      <c r="D34" s="7">
        <v>-15920.500000000029</v>
      </c>
      <c r="E34" s="7">
        <v>-82770.04074718499</v>
      </c>
      <c r="F34" s="7">
        <v>18851.342904601479</v>
      </c>
      <c r="G34" s="7">
        <v>99055.715098669345</v>
      </c>
      <c r="H34" s="7">
        <v>-23686.022071539792</v>
      </c>
      <c r="I34" s="7">
        <v>-122448.01626215833</v>
      </c>
      <c r="J34" s="7">
        <v>28893.70453689239</v>
      </c>
      <c r="K34" s="7">
        <v>137195.27354997577</v>
      </c>
      <c r="L34" s="7">
        <v>-34550.015206363605</v>
      </c>
      <c r="M34" s="7">
        <v>-162822.72771828101</v>
      </c>
      <c r="N34" s="7">
        <v>40747.16691767233</v>
      </c>
    </row>
    <row r="35" spans="1:24" x14ac:dyDescent="0.35">
      <c r="A35" s="7" t="s">
        <v>43</v>
      </c>
      <c r="B35" s="11">
        <v>83792.171404800029</v>
      </c>
      <c r="C35" s="11">
        <v>56174.809692799972</v>
      </c>
      <c r="D35" s="11">
        <f t="shared" ref="D35:N35" si="18">D31-D32-D34</f>
        <v>166449.16154560007</v>
      </c>
      <c r="E35" s="11">
        <f t="shared" si="18"/>
        <v>252868.85230569169</v>
      </c>
      <c r="F35" s="11">
        <f t="shared" si="18"/>
        <v>173546.14654774833</v>
      </c>
      <c r="G35" s="11">
        <f t="shared" si="18"/>
        <v>115873.01347673158</v>
      </c>
      <c r="H35" s="11">
        <f t="shared" si="18"/>
        <v>261430.15103832234</v>
      </c>
      <c r="I35" s="11">
        <f t="shared" si="18"/>
        <v>383349.93879700685</v>
      </c>
      <c r="J35" s="11">
        <f t="shared" si="18"/>
        <v>243798.79868287322</v>
      </c>
      <c r="K35" s="11">
        <f t="shared" si="18"/>
        <v>159813.9696491143</v>
      </c>
      <c r="L35" s="11">
        <f t="shared" si="18"/>
        <v>358067.96043945535</v>
      </c>
      <c r="M35" s="11">
        <f t="shared" si="18"/>
        <v>509392.50752097426</v>
      </c>
      <c r="N35" s="11">
        <f t="shared" si="18"/>
        <v>330653.48265269515</v>
      </c>
      <c r="P35" s="10"/>
      <c r="Q35" s="10"/>
      <c r="R35" s="10"/>
      <c r="S35" s="10"/>
      <c r="T35" s="10"/>
      <c r="U35" s="10"/>
      <c r="V35" s="10"/>
      <c r="W35" s="10"/>
      <c r="X35" s="10"/>
    </row>
    <row r="36" spans="1:24" x14ac:dyDescent="0.35">
      <c r="A36" t="s">
        <v>133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>
        <f>N35*(1+U7)/(B38-U7)</f>
        <v>5407699.2303152932</v>
      </c>
    </row>
    <row r="37" spans="1:24" x14ac:dyDescent="0.35">
      <c r="A37" t="s">
        <v>134</v>
      </c>
      <c r="B37" s="43">
        <f>B35+B36</f>
        <v>83792.171404800029</v>
      </c>
      <c r="C37" s="43">
        <f t="shared" ref="C37:N37" si="19">C35+C36</f>
        <v>56174.809692799972</v>
      </c>
      <c r="D37" s="43">
        <f t="shared" si="19"/>
        <v>166449.16154560007</v>
      </c>
      <c r="E37" s="43">
        <f t="shared" si="19"/>
        <v>252868.85230569169</v>
      </c>
      <c r="F37" s="43">
        <f t="shared" si="19"/>
        <v>173546.14654774833</v>
      </c>
      <c r="G37" s="43">
        <f t="shared" si="19"/>
        <v>115873.01347673158</v>
      </c>
      <c r="H37" s="43">
        <f t="shared" si="19"/>
        <v>261430.15103832234</v>
      </c>
      <c r="I37" s="43">
        <f t="shared" si="19"/>
        <v>383349.93879700685</v>
      </c>
      <c r="J37" s="43">
        <f t="shared" si="19"/>
        <v>243798.79868287322</v>
      </c>
      <c r="K37" s="43">
        <f t="shared" si="19"/>
        <v>159813.9696491143</v>
      </c>
      <c r="L37" s="43">
        <f t="shared" si="19"/>
        <v>358067.96043945535</v>
      </c>
      <c r="M37" s="43">
        <f t="shared" si="19"/>
        <v>509392.50752097426</v>
      </c>
      <c r="N37" s="43">
        <f t="shared" si="19"/>
        <v>5738352.7129679881</v>
      </c>
    </row>
    <row r="38" spans="1:24" s="2" customFormat="1" x14ac:dyDescent="0.35">
      <c r="A38" t="s">
        <v>105</v>
      </c>
      <c r="B38" s="5">
        <f>WACC!D28</f>
        <v>9.3700873940248675E-2</v>
      </c>
      <c r="C38"/>
      <c r="D38"/>
      <c r="E38"/>
      <c r="F38"/>
      <c r="G38"/>
      <c r="H38"/>
      <c r="I38"/>
    </row>
    <row r="39" spans="1:24" s="2" customFormat="1" x14ac:dyDescent="0.35">
      <c r="A39" t="s">
        <v>131</v>
      </c>
      <c r="B39" t="s">
        <v>132</v>
      </c>
      <c r="C39" t="s">
        <v>132</v>
      </c>
      <c r="D39">
        <v>1</v>
      </c>
      <c r="E39">
        <f>1/(1+$B$38)^1</f>
        <v>0.91432678150592039</v>
      </c>
      <c r="F39">
        <f>1/(1+$B$38)^2</f>
        <v>0.83599346337897507</v>
      </c>
      <c r="G39">
        <f>1/(1+$B$38)^3</f>
        <v>0.76437121273128583</v>
      </c>
      <c r="H39">
        <f>1/(1+$B$38)^4</f>
        <v>0.69888507081237372</v>
      </c>
      <c r="I39">
        <f>1/(1+$B$38)^5</f>
        <v>0.63900933743841504</v>
      </c>
      <c r="J39">
        <f>1/(1+$B$38)^6</f>
        <v>0.58426335085229664</v>
      </c>
      <c r="K39">
        <f>1/(1+$B$38)^7</f>
        <v>0.53420762913664466</v>
      </c>
      <c r="L39">
        <f>1/(1+$B$38)^8</f>
        <v>0.48844034220441668</v>
      </c>
      <c r="M39">
        <f>1/(1+$B$38)^9</f>
        <v>0.44659408604541462</v>
      </c>
      <c r="N39">
        <f>1/(1+$B$38)^10</f>
        <v>0.40833293333348208</v>
      </c>
    </row>
    <row r="40" spans="1:24" x14ac:dyDescent="0.35">
      <c r="A40" t="s">
        <v>135</v>
      </c>
      <c r="B40" s="44">
        <f>SUMPRODUCT(D37:N37,D39:N39)</f>
        <v>4032342.6445125132</v>
      </c>
      <c r="E40" s="2"/>
      <c r="F40" s="2"/>
      <c r="G40" s="2"/>
      <c r="H40" s="2"/>
      <c r="I40" s="2"/>
    </row>
    <row r="41" spans="1:24" x14ac:dyDescent="0.35">
      <c r="A41" t="s">
        <v>164</v>
      </c>
      <c r="B41">
        <v>3036.2</v>
      </c>
    </row>
    <row r="42" spans="1:24" x14ac:dyDescent="0.35">
      <c r="A42" t="s">
        <v>168</v>
      </c>
      <c r="B42">
        <v>105206.8</v>
      </c>
    </row>
    <row r="44" spans="1:24" x14ac:dyDescent="0.35">
      <c r="A44" t="s">
        <v>165</v>
      </c>
      <c r="B44">
        <f>B40-B41+B42</f>
        <v>4134513.2445125128</v>
      </c>
    </row>
    <row r="46" spans="1:24" x14ac:dyDescent="0.35">
      <c r="A46" t="s">
        <v>169</v>
      </c>
      <c r="B46">
        <v>2403</v>
      </c>
    </row>
    <row r="47" spans="1:24" x14ac:dyDescent="0.35">
      <c r="A47" s="60" t="s">
        <v>238</v>
      </c>
      <c r="B47" s="63">
        <f>B44/B46</f>
        <v>1720.563147945282</v>
      </c>
    </row>
    <row r="48" spans="1:24" x14ac:dyDescent="0.35">
      <c r="A48" s="61" t="s">
        <v>180</v>
      </c>
      <c r="B48" s="62">
        <f>(B47-'Relative Valuation'!D6)/'Relative Valuation'!D6</f>
        <v>3.1049077420393725E-2</v>
      </c>
    </row>
    <row r="51" spans="1:8" x14ac:dyDescent="0.35">
      <c r="C51" s="2" t="s">
        <v>105</v>
      </c>
    </row>
    <row r="52" spans="1:8" ht="18.5" x14ac:dyDescent="0.45">
      <c r="A52" s="65" t="s">
        <v>239</v>
      </c>
      <c r="C52" s="5">
        <v>0.06</v>
      </c>
      <c r="D52" s="4">
        <v>7.0000000000000007E-2</v>
      </c>
      <c r="E52" s="5">
        <v>0.08</v>
      </c>
      <c r="F52" s="5">
        <v>0.09</v>
      </c>
      <c r="G52" s="5">
        <v>0.1</v>
      </c>
      <c r="H52" s="4">
        <v>0.11</v>
      </c>
    </row>
    <row r="53" spans="1:8" x14ac:dyDescent="0.35">
      <c r="B53" s="5">
        <v>5.0000000000000001E-3</v>
      </c>
      <c r="F53" s="66"/>
    </row>
    <row r="54" spans="1:8" x14ac:dyDescent="0.35">
      <c r="B54" s="5">
        <v>0.01</v>
      </c>
    </row>
    <row r="55" spans="1:8" x14ac:dyDescent="0.35">
      <c r="A55" s="2" t="s">
        <v>240</v>
      </c>
      <c r="B55" s="5">
        <v>1.4999999999999999E-2</v>
      </c>
    </row>
    <row r="56" spans="1:8" x14ac:dyDescent="0.35">
      <c r="B56" s="4">
        <v>0.03</v>
      </c>
    </row>
    <row r="57" spans="1:8" x14ac:dyDescent="0.35">
      <c r="B57" s="5">
        <v>3.5000000000000003E-2</v>
      </c>
    </row>
    <row r="58" spans="1:8" x14ac:dyDescent="0.35">
      <c r="B58" s="4">
        <v>0.04</v>
      </c>
    </row>
  </sheetData>
  <mergeCells count="1">
    <mergeCell ref="C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F295-7EBE-4F0B-9B37-83D5D08CCBC1}">
  <dimension ref="A2:X58"/>
  <sheetViews>
    <sheetView topLeftCell="A28" workbookViewId="0">
      <selection activeCell="D39" sqref="D39"/>
    </sheetView>
  </sheetViews>
  <sheetFormatPr defaultRowHeight="14.5" x14ac:dyDescent="0.35"/>
  <cols>
    <col min="1" max="1" width="33.36328125" bestFit="1" customWidth="1"/>
    <col min="2" max="4" width="12" bestFit="1" customWidth="1"/>
    <col min="16" max="16" width="15.6328125" bestFit="1" customWidth="1"/>
  </cols>
  <sheetData>
    <row r="2" spans="1:21" ht="18.5" x14ac:dyDescent="0.45">
      <c r="C2" s="76" t="s">
        <v>129</v>
      </c>
      <c r="D2" s="76"/>
      <c r="E2" s="76"/>
      <c r="F2" s="76"/>
    </row>
    <row r="4" spans="1:21" x14ac:dyDescent="0.35">
      <c r="A4" s="2" t="s">
        <v>130</v>
      </c>
      <c r="B4" t="s">
        <v>4</v>
      </c>
      <c r="C4" t="s">
        <v>5</v>
      </c>
      <c r="D4" s="2" t="s">
        <v>6</v>
      </c>
      <c r="E4" s="2" t="s">
        <v>24</v>
      </c>
      <c r="F4" s="2" t="s">
        <v>34</v>
      </c>
      <c r="G4" s="2" t="s">
        <v>25</v>
      </c>
      <c r="H4" s="2" t="s">
        <v>26</v>
      </c>
      <c r="I4" s="2" t="s">
        <v>35</v>
      </c>
      <c r="J4" s="2" t="s">
        <v>36</v>
      </c>
      <c r="K4" s="2" t="s">
        <v>27</v>
      </c>
      <c r="L4" s="2" t="s">
        <v>28</v>
      </c>
      <c r="M4" s="2" t="s">
        <v>29</v>
      </c>
      <c r="N4" s="2" t="s">
        <v>30</v>
      </c>
    </row>
    <row r="5" spans="1:21" x14ac:dyDescent="0.35">
      <c r="A5" t="s">
        <v>0</v>
      </c>
      <c r="B5">
        <v>384264.2</v>
      </c>
      <c r="C5">
        <v>432788.7</v>
      </c>
      <c r="D5">
        <v>477584.5</v>
      </c>
      <c r="S5" t="s">
        <v>48</v>
      </c>
    </row>
    <row r="6" spans="1:21" x14ac:dyDescent="0.35">
      <c r="Q6" s="4">
        <v>0.31</v>
      </c>
      <c r="R6" t="s">
        <v>33</v>
      </c>
      <c r="S6" s="4">
        <v>0.04</v>
      </c>
      <c r="U6" t="s">
        <v>49</v>
      </c>
    </row>
    <row r="7" spans="1:21" x14ac:dyDescent="0.35">
      <c r="A7" t="s">
        <v>14</v>
      </c>
      <c r="B7">
        <v>384264.2</v>
      </c>
      <c r="C7">
        <v>432788.7</v>
      </c>
      <c r="D7" s="16">
        <f>'Revenue Projection'!C35</f>
        <v>484968.50000000006</v>
      </c>
      <c r="E7" s="16">
        <f>'Revenue Projection'!D35</f>
        <v>537329.15708540508</v>
      </c>
      <c r="F7" s="16">
        <f>'Revenue Projection'!E35</f>
        <v>597636.20288202073</v>
      </c>
      <c r="G7" s="16">
        <f>'Revenue Projection'!F35</f>
        <v>667446.70212019293</v>
      </c>
      <c r="H7" s="16">
        <f>'Revenue Projection'!G35</f>
        <v>748668.34931882226</v>
      </c>
      <c r="I7" s="16">
        <f>'Revenue Projection'!H35</f>
        <v>843643.24134540174</v>
      </c>
      <c r="J7" s="16">
        <f>'Revenue Projection'!I35</f>
        <v>947172.21288628376</v>
      </c>
      <c r="K7" s="16">
        <f>'Revenue Projection'!J35</f>
        <v>1056800.0540395593</v>
      </c>
      <c r="L7" s="16">
        <f>'Revenue Projection'!K35</f>
        <v>1169526.258418733</v>
      </c>
      <c r="M7" s="16">
        <f>'Revenue Projection'!L35</f>
        <v>1282317.0897386107</v>
      </c>
      <c r="N7" s="16">
        <f>'Revenue Projection'!M35</f>
        <v>1392800.2053745356</v>
      </c>
      <c r="Q7" s="4">
        <v>0.32</v>
      </c>
      <c r="R7" t="s">
        <v>32</v>
      </c>
      <c r="S7" s="5">
        <v>0.02</v>
      </c>
      <c r="U7" s="12">
        <f>Q6*S6+Q7*S7+Q8*S8</f>
        <v>3.0679999999999999E-2</v>
      </c>
    </row>
    <row r="8" spans="1:21" x14ac:dyDescent="0.35">
      <c r="A8" t="s">
        <v>1</v>
      </c>
      <c r="B8" t="s">
        <v>13</v>
      </c>
      <c r="C8" t="s">
        <v>13</v>
      </c>
      <c r="D8" t="s">
        <v>13</v>
      </c>
      <c r="Q8" s="4">
        <f>1-Q7-Q7</f>
        <v>0.35999999999999993</v>
      </c>
      <c r="R8" t="s">
        <v>47</v>
      </c>
      <c r="S8" s="5">
        <v>3.3000000000000002E-2</v>
      </c>
    </row>
    <row r="9" spans="1:21" x14ac:dyDescent="0.35">
      <c r="A9" t="s">
        <v>15</v>
      </c>
      <c r="B9">
        <v>2280.6999999999998</v>
      </c>
      <c r="C9">
        <v>6068.1</v>
      </c>
      <c r="D9">
        <v>7384</v>
      </c>
    </row>
    <row r="10" spans="1:21" x14ac:dyDescent="0.35">
      <c r="A10" t="s">
        <v>16</v>
      </c>
      <c r="B10">
        <v>301582.5</v>
      </c>
      <c r="C10">
        <v>344470.2</v>
      </c>
      <c r="D10">
        <v>378009.5</v>
      </c>
    </row>
    <row r="11" spans="1:21" x14ac:dyDescent="0.35">
      <c r="A11" t="s">
        <v>17</v>
      </c>
      <c r="B11">
        <v>32817.300000000003</v>
      </c>
      <c r="C11">
        <v>42921.8</v>
      </c>
      <c r="D11">
        <v>49677.9</v>
      </c>
      <c r="E11">
        <f>E7*$E$12</f>
        <v>53732.91570854051</v>
      </c>
      <c r="F11">
        <f t="shared" ref="F11:I11" si="0">F7*$E$12</f>
        <v>59763.620288202073</v>
      </c>
      <c r="G11">
        <f t="shared" si="0"/>
        <v>66744.670212019293</v>
      </c>
      <c r="H11">
        <f t="shared" si="0"/>
        <v>74866.834931882229</v>
      </c>
      <c r="I11">
        <f t="shared" si="0"/>
        <v>84364.324134540177</v>
      </c>
    </row>
    <row r="12" spans="1:21" x14ac:dyDescent="0.35">
      <c r="B12" s="3">
        <v>8.5402959734474357E-2</v>
      </c>
      <c r="C12" s="3">
        <v>9.9174955353501612E-2</v>
      </c>
      <c r="D12" s="3">
        <f t="shared" ref="D12" si="1">D11/D7</f>
        <v>0.10243531280897625</v>
      </c>
      <c r="E12" s="4">
        <v>0.1</v>
      </c>
    </row>
    <row r="13" spans="1:21" x14ac:dyDescent="0.35">
      <c r="A13" t="s">
        <v>18</v>
      </c>
      <c r="B13">
        <v>22103.7</v>
      </c>
      <c r="C13">
        <v>22856.2</v>
      </c>
      <c r="D13">
        <v>30923.7</v>
      </c>
      <c r="E13">
        <f>E7*$E$14</f>
        <v>34926.395210551331</v>
      </c>
      <c r="F13">
        <f t="shared" ref="F13:I13" si="2">F7*$E$14</f>
        <v>38846.353187331348</v>
      </c>
      <c r="G13">
        <f t="shared" si="2"/>
        <v>43384.035637812543</v>
      </c>
      <c r="H13">
        <f t="shared" si="2"/>
        <v>48663.44270572345</v>
      </c>
      <c r="I13">
        <f t="shared" si="2"/>
        <v>54836.810687451114</v>
      </c>
    </row>
    <row r="14" spans="1:21" x14ac:dyDescent="0.35">
      <c r="E14" s="5">
        <v>6.5000000000000002E-2</v>
      </c>
    </row>
    <row r="15" spans="1:21" x14ac:dyDescent="0.35">
      <c r="A15" t="s">
        <v>37</v>
      </c>
      <c r="B15">
        <v>6323.73</v>
      </c>
      <c r="C15">
        <v>8609.3499999999985</v>
      </c>
      <c r="D15">
        <f t="shared" ref="D15:I15" si="3">C15+D13/10</f>
        <v>11701.719999999998</v>
      </c>
      <c r="E15">
        <f t="shared" si="3"/>
        <v>15194.35952105513</v>
      </c>
      <c r="F15">
        <f t="shared" si="3"/>
        <v>19078.994839788265</v>
      </c>
      <c r="G15">
        <f t="shared" si="3"/>
        <v>23417.398403569518</v>
      </c>
      <c r="H15">
        <f t="shared" si="3"/>
        <v>28283.74267414186</v>
      </c>
      <c r="I15">
        <f t="shared" si="3"/>
        <v>33767.423742886975</v>
      </c>
    </row>
    <row r="16" spans="1:21" x14ac:dyDescent="0.35">
      <c r="A16" t="s">
        <v>31</v>
      </c>
      <c r="B16">
        <v>50831.180000000008</v>
      </c>
      <c r="C16">
        <v>65078.030000000006</v>
      </c>
      <c r="D16">
        <f t="shared" ref="D16:I16" si="4">C16+D13-D15</f>
        <v>84300.010000000009</v>
      </c>
      <c r="E16">
        <f t="shared" si="4"/>
        <v>104032.04568949621</v>
      </c>
      <c r="F16">
        <f t="shared" si="4"/>
        <v>123799.40403703929</v>
      </c>
      <c r="G16">
        <f t="shared" si="4"/>
        <v>143766.0412712823</v>
      </c>
      <c r="H16">
        <f t="shared" si="4"/>
        <v>164145.7413028639</v>
      </c>
      <c r="I16">
        <f t="shared" si="4"/>
        <v>185215.12824742805</v>
      </c>
    </row>
    <row r="17" spans="1:14" x14ac:dyDescent="0.35">
      <c r="E17" s="5"/>
    </row>
    <row r="18" spans="1:14" x14ac:dyDescent="0.35">
      <c r="A18" t="s">
        <v>19</v>
      </c>
      <c r="B18">
        <v>21437.4</v>
      </c>
      <c r="C18">
        <v>25294.3</v>
      </c>
      <c r="D18">
        <v>25566.400000000001</v>
      </c>
      <c r="E18">
        <f>E7*$E$19</f>
        <v>32239.749425124304</v>
      </c>
      <c r="F18">
        <f t="shared" ref="F18:N18" si="5">F7*$E$19</f>
        <v>35858.172172921244</v>
      </c>
      <c r="G18">
        <f t="shared" si="5"/>
        <v>40046.802127211573</v>
      </c>
      <c r="H18">
        <f t="shared" si="5"/>
        <v>44920.100959129333</v>
      </c>
      <c r="I18">
        <f t="shared" si="5"/>
        <v>50618.594480724103</v>
      </c>
      <c r="J18">
        <f t="shared" si="5"/>
        <v>56830.332773177026</v>
      </c>
      <c r="K18">
        <f t="shared" si="5"/>
        <v>63408.003242373554</v>
      </c>
      <c r="L18">
        <f t="shared" si="5"/>
        <v>70171.575505123983</v>
      </c>
      <c r="M18">
        <f t="shared" si="5"/>
        <v>76939.025384316643</v>
      </c>
      <c r="N18">
        <f t="shared" si="5"/>
        <v>83568.012322472132</v>
      </c>
    </row>
    <row r="19" spans="1:14" x14ac:dyDescent="0.35">
      <c r="B19" s="3">
        <v>5.5788179070545736E-2</v>
      </c>
      <c r="C19" s="3">
        <v>5.8444917808621155E-2</v>
      </c>
      <c r="D19" s="3">
        <f t="shared" ref="D19" si="6">D18/D7</f>
        <v>5.2717650734016741E-2</v>
      </c>
      <c r="E19" s="4">
        <v>0.06</v>
      </c>
    </row>
    <row r="20" spans="1:14" x14ac:dyDescent="0.35">
      <c r="A20" t="s">
        <v>20</v>
      </c>
      <c r="B20">
        <v>175.7</v>
      </c>
      <c r="C20">
        <v>426.2</v>
      </c>
      <c r="D20">
        <v>905.9</v>
      </c>
      <c r="E20">
        <f>E7*$E$21</f>
        <v>1074.6583141708102</v>
      </c>
      <c r="F20">
        <f t="shared" ref="F20:I20" si="7">F7*$E$21</f>
        <v>1195.2724057640414</v>
      </c>
      <c r="G20">
        <f t="shared" si="7"/>
        <v>1334.893404240386</v>
      </c>
      <c r="H20">
        <f t="shared" si="7"/>
        <v>1497.3366986376445</v>
      </c>
      <c r="I20">
        <f t="shared" si="7"/>
        <v>1687.2864826908035</v>
      </c>
    </row>
    <row r="21" spans="1:14" x14ac:dyDescent="0.35">
      <c r="B21" s="1">
        <v>4.5723749441139712E-4</v>
      </c>
      <c r="C21" s="1">
        <v>9.8477617368475661E-4</v>
      </c>
      <c r="D21" s="1">
        <f t="shared" ref="D21" si="8">D20/D7</f>
        <v>1.8679563724241881E-3</v>
      </c>
      <c r="E21" s="5">
        <v>2E-3</v>
      </c>
    </row>
    <row r="22" spans="1:14" x14ac:dyDescent="0.35">
      <c r="A22" t="s">
        <v>21</v>
      </c>
      <c r="B22">
        <v>225048.4</v>
      </c>
      <c r="C22">
        <v>252971.7</v>
      </c>
      <c r="D22">
        <v>270935.59999999998</v>
      </c>
      <c r="E22">
        <f>E7*E23</f>
        <v>300904.32796782686</v>
      </c>
      <c r="F22">
        <f t="shared" ref="F22:I22" si="9">F7*F23</f>
        <v>328699.9115851114</v>
      </c>
      <c r="G22">
        <f t="shared" si="9"/>
        <v>360421.21914490423</v>
      </c>
      <c r="H22">
        <f t="shared" si="9"/>
        <v>396794.22513897583</v>
      </c>
      <c r="I22">
        <f t="shared" si="9"/>
        <v>438694.48549960891</v>
      </c>
    </row>
    <row r="23" spans="1:14" x14ac:dyDescent="0.35">
      <c r="B23" s="3">
        <v>0.58566059497606071</v>
      </c>
      <c r="C23" s="3">
        <v>0.58451549220208388</v>
      </c>
      <c r="D23" s="3">
        <f t="shared" ref="D23" si="10">D22/D7</f>
        <v>0.55866638761074161</v>
      </c>
      <c r="E23" s="4">
        <v>0.56000000000000005</v>
      </c>
      <c r="F23" s="4">
        <v>0.55000000000000004</v>
      </c>
      <c r="G23" s="4">
        <v>0.54</v>
      </c>
      <c r="H23" s="4">
        <v>0.53</v>
      </c>
      <c r="I23" s="4">
        <v>0.52</v>
      </c>
    </row>
    <row r="24" spans="1:14" x14ac:dyDescent="0.35">
      <c r="A24" t="s">
        <v>22</v>
      </c>
      <c r="B24">
        <v>84962.4</v>
      </c>
      <c r="C24">
        <v>94386.6</v>
      </c>
      <c r="D24">
        <v>106959</v>
      </c>
      <c r="E24">
        <f>E7-(E11+E13+E18+E20+E22)</f>
        <v>114451.11045919126</v>
      </c>
      <c r="F24">
        <f t="shared" ref="F24:I24" si="11">F7-(F11+F13+F18+F20+F22)</f>
        <v>133272.87324269064</v>
      </c>
      <c r="G24">
        <f t="shared" si="11"/>
        <v>155515.08159400488</v>
      </c>
      <c r="H24">
        <f t="shared" si="11"/>
        <v>181926.40888447373</v>
      </c>
      <c r="I24">
        <f t="shared" si="11"/>
        <v>213441.7400603866</v>
      </c>
    </row>
    <row r="25" spans="1:14" x14ac:dyDescent="0.35">
      <c r="A25" s="6" t="s">
        <v>38</v>
      </c>
      <c r="B25" s="6">
        <v>135793.58000000002</v>
      </c>
      <c r="C25" s="6">
        <v>159464.63</v>
      </c>
      <c r="D25" s="6">
        <f t="shared" ref="D25:I25" si="12">D24+D16</f>
        <v>191259.01</v>
      </c>
      <c r="E25" s="7">
        <f t="shared" si="12"/>
        <v>218483.15614868747</v>
      </c>
      <c r="F25" s="7">
        <f t="shared" si="12"/>
        <v>257072.27727972993</v>
      </c>
      <c r="G25" s="7">
        <f t="shared" si="12"/>
        <v>299281.12286528718</v>
      </c>
      <c r="H25" s="7">
        <f t="shared" si="12"/>
        <v>346072.15018733765</v>
      </c>
      <c r="I25" s="7">
        <f t="shared" si="12"/>
        <v>398656.86830781464</v>
      </c>
      <c r="J25" s="7">
        <f>J7*J26</f>
        <v>454642.66218541621</v>
      </c>
      <c r="K25" s="7">
        <f t="shared" ref="K25:N25" si="13">K7*K26</f>
        <v>517832.02647938405</v>
      </c>
      <c r="L25" s="7">
        <f t="shared" si="13"/>
        <v>584763.12920936651</v>
      </c>
      <c r="M25" s="7">
        <f t="shared" si="13"/>
        <v>641158.54486930533</v>
      </c>
      <c r="N25" s="7">
        <f t="shared" si="13"/>
        <v>696400.10268726782</v>
      </c>
    </row>
    <row r="26" spans="1:14" x14ac:dyDescent="0.35">
      <c r="B26" s="9">
        <v>0.35338597766848956</v>
      </c>
      <c r="C26" s="9">
        <v>0.36845839551725817</v>
      </c>
      <c r="D26" s="9">
        <f t="shared" ref="D26:I26" si="14">D25/D7</f>
        <v>0.39437408821397674</v>
      </c>
      <c r="E26" s="9">
        <f t="shared" si="14"/>
        <v>0.40660953024360252</v>
      </c>
      <c r="F26" s="9">
        <f t="shared" si="14"/>
        <v>0.43014843485055493</v>
      </c>
      <c r="G26" s="9">
        <f t="shared" si="14"/>
        <v>0.44839703592002023</v>
      </c>
      <c r="H26" s="9">
        <f t="shared" si="14"/>
        <v>0.46225027477415365</v>
      </c>
      <c r="I26" s="9">
        <f t="shared" si="14"/>
        <v>0.47254200445209021</v>
      </c>
      <c r="J26" s="4">
        <v>0.48</v>
      </c>
      <c r="K26" s="4">
        <v>0.49</v>
      </c>
      <c r="L26" s="4">
        <v>0.5</v>
      </c>
      <c r="M26" s="4">
        <v>0.5</v>
      </c>
      <c r="N26" s="4">
        <v>0.5</v>
      </c>
    </row>
    <row r="27" spans="1:14" x14ac:dyDescent="0.35">
      <c r="A27" t="s">
        <v>23</v>
      </c>
      <c r="B27">
        <v>-8501.7999999999993</v>
      </c>
      <c r="C27">
        <v>-1645.5</v>
      </c>
      <c r="D27">
        <v>-10388.6</v>
      </c>
      <c r="E27">
        <f>E7*$E$30</f>
        <v>-5373.2915708540513</v>
      </c>
      <c r="F27">
        <f t="shared" ref="F27:I27" si="15">F7*$E$30</f>
        <v>-5976.3620288202073</v>
      </c>
      <c r="G27">
        <f t="shared" si="15"/>
        <v>-6674.4670212019291</v>
      </c>
      <c r="H27">
        <f t="shared" si="15"/>
        <v>-7486.6834931882231</v>
      </c>
      <c r="I27">
        <f t="shared" si="15"/>
        <v>-8436.4324134540184</v>
      </c>
    </row>
    <row r="28" spans="1:14" x14ac:dyDescent="0.35">
      <c r="A28" t="s">
        <v>45</v>
      </c>
      <c r="B28" t="s">
        <v>46</v>
      </c>
      <c r="C28" s="4">
        <v>0.25</v>
      </c>
    </row>
    <row r="29" spans="1:14" x14ac:dyDescent="0.35">
      <c r="A29" t="s">
        <v>44</v>
      </c>
      <c r="B29">
        <v>88341.871404800011</v>
      </c>
      <c r="C29">
        <v>103741.3096928</v>
      </c>
      <c r="D29">
        <f t="shared" ref="D29:N29" si="16">D25*(1-0.34944)</f>
        <v>124425.46154560002</v>
      </c>
      <c r="E29">
        <f t="shared" si="16"/>
        <v>142136.40206409013</v>
      </c>
      <c r="F29">
        <f t="shared" si="16"/>
        <v>167240.94070710111</v>
      </c>
      <c r="G29">
        <f t="shared" si="16"/>
        <v>194700.32729124124</v>
      </c>
      <c r="H29">
        <f t="shared" si="16"/>
        <v>225140.69802587439</v>
      </c>
      <c r="I29">
        <f t="shared" si="16"/>
        <v>259350.21224633191</v>
      </c>
      <c r="J29">
        <f t="shared" si="16"/>
        <v>295772.33031134435</v>
      </c>
      <c r="K29">
        <f t="shared" si="16"/>
        <v>336880.80314642808</v>
      </c>
      <c r="L29">
        <f t="shared" si="16"/>
        <v>380423.50133844547</v>
      </c>
      <c r="M29">
        <f t="shared" si="16"/>
        <v>417112.10295017529</v>
      </c>
      <c r="N29">
        <f t="shared" si="16"/>
        <v>453050.05080422899</v>
      </c>
    </row>
    <row r="30" spans="1:14" x14ac:dyDescent="0.35">
      <c r="B30" s="3">
        <v>-2.212488178706213E-2</v>
      </c>
      <c r="C30" s="3">
        <v>-3.8020863298880029E-3</v>
      </c>
      <c r="D30" s="3">
        <f>D27/D7</f>
        <v>-2.1421185087278864E-2</v>
      </c>
      <c r="E30" s="4">
        <v>-0.01</v>
      </c>
    </row>
    <row r="31" spans="1:14" x14ac:dyDescent="0.35">
      <c r="A31" t="s">
        <v>39</v>
      </c>
      <c r="B31" s="8">
        <v>109779.27140480001</v>
      </c>
      <c r="C31" s="8">
        <v>129035.6096928</v>
      </c>
      <c r="D31" s="8">
        <f t="shared" ref="D31:N31" si="17">D29+D18</f>
        <v>149991.86154560003</v>
      </c>
      <c r="E31" s="8">
        <f t="shared" si="17"/>
        <v>174376.15148921445</v>
      </c>
      <c r="F31" s="8">
        <f t="shared" si="17"/>
        <v>203099.11288002235</v>
      </c>
      <c r="G31" s="8">
        <f t="shared" si="17"/>
        <v>234747.12941845279</v>
      </c>
      <c r="H31" s="8">
        <f t="shared" si="17"/>
        <v>270060.79898500373</v>
      </c>
      <c r="I31" s="8">
        <f t="shared" si="17"/>
        <v>309968.80672705604</v>
      </c>
      <c r="J31" s="8">
        <f>J29+J18</f>
        <v>352602.66308452137</v>
      </c>
      <c r="K31" s="8">
        <f t="shared" si="17"/>
        <v>400288.80638880166</v>
      </c>
      <c r="L31" s="8">
        <f t="shared" si="17"/>
        <v>450595.07684356946</v>
      </c>
      <c r="M31" s="8">
        <f t="shared" si="17"/>
        <v>494051.12833449192</v>
      </c>
      <c r="N31" s="8">
        <f t="shared" si="17"/>
        <v>536618.06312670116</v>
      </c>
    </row>
    <row r="32" spans="1:14" x14ac:dyDescent="0.35">
      <c r="A32" s="7" t="s">
        <v>41</v>
      </c>
      <c r="B32" s="11">
        <v>-26.200000000011642</v>
      </c>
      <c r="C32" s="11">
        <v>1848.4000000000087</v>
      </c>
      <c r="D32" s="11">
        <v>-536.80000000000291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</row>
    <row r="33" spans="1:24" x14ac:dyDescent="0.35">
      <c r="A33" t="s">
        <v>42</v>
      </c>
      <c r="B33" s="10">
        <v>-6.8182255854205625E-5</v>
      </c>
      <c r="C33" s="10">
        <v>4.2709063337374766E-3</v>
      </c>
      <c r="D33" s="10">
        <f>D32/D7</f>
        <v>-1.1068760135967653E-3</v>
      </c>
      <c r="E33" s="9">
        <v>0</v>
      </c>
      <c r="F33" s="9"/>
      <c r="G33" s="9"/>
      <c r="H33" s="9"/>
      <c r="I33" s="9"/>
      <c r="J33" s="4"/>
      <c r="K33" s="4"/>
      <c r="L33" s="4"/>
      <c r="M33" s="4"/>
      <c r="N33" s="4"/>
    </row>
    <row r="34" spans="1:24" x14ac:dyDescent="0.35">
      <c r="A34" s="7" t="s">
        <v>40</v>
      </c>
      <c r="B34" s="7">
        <v>26013.299999999988</v>
      </c>
      <c r="C34" s="7">
        <v>71012.400000000023</v>
      </c>
      <c r="D34" s="7">
        <v>-15920.500000000029</v>
      </c>
      <c r="E34" s="7">
        <v>-82770.04074718499</v>
      </c>
      <c r="F34" s="7">
        <v>18851.342904601479</v>
      </c>
      <c r="G34" s="7">
        <v>99055.715098669345</v>
      </c>
      <c r="H34" s="7">
        <v>-23686.022071539792</v>
      </c>
      <c r="I34" s="7">
        <v>-122448.01626215833</v>
      </c>
      <c r="J34" s="7">
        <v>28893.70453689239</v>
      </c>
      <c r="K34" s="7">
        <v>137195.27354997577</v>
      </c>
      <c r="L34" s="7">
        <v>-34550.015206363605</v>
      </c>
      <c r="M34" s="7">
        <v>-162822.72771828101</v>
      </c>
      <c r="N34" s="7">
        <v>40747.16691767233</v>
      </c>
    </row>
    <row r="35" spans="1:24" x14ac:dyDescent="0.35">
      <c r="A35" s="7" t="s">
        <v>43</v>
      </c>
      <c r="B35" s="11">
        <v>83792.171404800029</v>
      </c>
      <c r="C35" s="11">
        <v>56174.809692799972</v>
      </c>
      <c r="D35" s="11">
        <f t="shared" ref="D35:N35" si="18">D31-D32-D34</f>
        <v>166449.16154560007</v>
      </c>
      <c r="E35" s="11">
        <f t="shared" si="18"/>
        <v>257146.19223639945</v>
      </c>
      <c r="F35" s="11">
        <f t="shared" si="18"/>
        <v>184247.76997542087</v>
      </c>
      <c r="G35" s="11">
        <f t="shared" si="18"/>
        <v>135691.41431978345</v>
      </c>
      <c r="H35" s="11">
        <f t="shared" si="18"/>
        <v>293746.8210565435</v>
      </c>
      <c r="I35" s="11">
        <f t="shared" si="18"/>
        <v>432416.82298921439</v>
      </c>
      <c r="J35" s="11">
        <f t="shared" si="18"/>
        <v>323708.95854762895</v>
      </c>
      <c r="K35" s="11">
        <f t="shared" si="18"/>
        <v>263093.53283882589</v>
      </c>
      <c r="L35" s="11">
        <f t="shared" si="18"/>
        <v>485145.09204993304</v>
      </c>
      <c r="M35" s="11">
        <f t="shared" si="18"/>
        <v>656873.85605277296</v>
      </c>
      <c r="N35" s="11">
        <f t="shared" si="18"/>
        <v>495870.89620902884</v>
      </c>
      <c r="P35" s="10"/>
      <c r="Q35" s="10"/>
      <c r="R35" s="10"/>
      <c r="S35" s="10"/>
      <c r="T35" s="10"/>
      <c r="U35" s="10"/>
      <c r="V35" s="10"/>
      <c r="W35" s="10"/>
      <c r="X35" s="10"/>
    </row>
    <row r="36" spans="1:24" x14ac:dyDescent="0.35">
      <c r="A36" t="s">
        <v>133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>
        <f>N35*(1+U7)/(B38-U7)</f>
        <v>8109760.8355810931</v>
      </c>
    </row>
    <row r="37" spans="1:24" x14ac:dyDescent="0.35">
      <c r="A37" t="s">
        <v>134</v>
      </c>
      <c r="B37" s="43">
        <f>B35+B36</f>
        <v>83792.171404800029</v>
      </c>
      <c r="C37" s="43">
        <f t="shared" ref="C37:N37" si="19">C35+C36</f>
        <v>56174.809692799972</v>
      </c>
      <c r="D37" s="43">
        <f t="shared" si="19"/>
        <v>166449.16154560007</v>
      </c>
      <c r="E37" s="43">
        <f t="shared" si="19"/>
        <v>257146.19223639945</v>
      </c>
      <c r="F37" s="43">
        <f t="shared" si="19"/>
        <v>184247.76997542087</v>
      </c>
      <c r="G37" s="43">
        <f t="shared" si="19"/>
        <v>135691.41431978345</v>
      </c>
      <c r="H37" s="43">
        <f t="shared" si="19"/>
        <v>293746.8210565435</v>
      </c>
      <c r="I37" s="43">
        <f t="shared" si="19"/>
        <v>432416.82298921439</v>
      </c>
      <c r="J37" s="43">
        <f t="shared" si="19"/>
        <v>323708.95854762895</v>
      </c>
      <c r="K37" s="43">
        <f t="shared" si="19"/>
        <v>263093.53283882589</v>
      </c>
      <c r="L37" s="43">
        <f t="shared" si="19"/>
        <v>485145.09204993304</v>
      </c>
      <c r="M37" s="43">
        <f t="shared" si="19"/>
        <v>656873.85605277296</v>
      </c>
      <c r="N37" s="43">
        <f t="shared" si="19"/>
        <v>8605631.7317901216</v>
      </c>
    </row>
    <row r="38" spans="1:24" s="2" customFormat="1" x14ac:dyDescent="0.35">
      <c r="A38" t="s">
        <v>105</v>
      </c>
      <c r="B38" s="5">
        <f>WACC!D28</f>
        <v>9.3700873940248675E-2</v>
      </c>
      <c r="C38"/>
      <c r="D38"/>
      <c r="E38"/>
      <c r="F38"/>
      <c r="G38"/>
      <c r="H38"/>
      <c r="I38"/>
    </row>
    <row r="39" spans="1:24" s="2" customFormat="1" x14ac:dyDescent="0.35">
      <c r="A39" t="s">
        <v>131</v>
      </c>
      <c r="B39" t="s">
        <v>132</v>
      </c>
      <c r="C39" t="s">
        <v>132</v>
      </c>
      <c r="D39">
        <v>1</v>
      </c>
      <c r="E39">
        <f>1/(1+$B$38)^1</f>
        <v>0.91432678150592039</v>
      </c>
      <c r="F39">
        <f>1/(1+$B$38)^2</f>
        <v>0.83599346337897507</v>
      </c>
      <c r="G39">
        <f>1/(1+$B$38)^3</f>
        <v>0.76437121273128583</v>
      </c>
      <c r="H39">
        <f>1/(1+$B$38)^4</f>
        <v>0.69888507081237372</v>
      </c>
      <c r="I39">
        <f>1/(1+$B$38)^5</f>
        <v>0.63900933743841504</v>
      </c>
      <c r="J39">
        <f>1/(1+$B$38)^6</f>
        <v>0.58426335085229664</v>
      </c>
      <c r="K39">
        <f>1/(1+$B$38)^7</f>
        <v>0.53420762913664466</v>
      </c>
      <c r="L39">
        <f>1/(1+$B$38)^8</f>
        <v>0.48844034220441668</v>
      </c>
      <c r="M39">
        <f>1/(1+$B$38)^9</f>
        <v>0.44659408604541462</v>
      </c>
      <c r="N39">
        <f>1/(1+$B$38)^10</f>
        <v>0.40833293333348208</v>
      </c>
    </row>
    <row r="40" spans="1:24" x14ac:dyDescent="0.35">
      <c r="A40" t="s">
        <v>135</v>
      </c>
      <c r="B40" s="44">
        <f>SUMPRODUCT(D37:N37,D39:N39)</f>
        <v>5514888.125163815</v>
      </c>
      <c r="E40" s="2"/>
      <c r="F40" s="2"/>
      <c r="G40" s="2"/>
      <c r="H40" s="2"/>
      <c r="I40" s="2"/>
    </row>
    <row r="41" spans="1:24" x14ac:dyDescent="0.35">
      <c r="A41" t="s">
        <v>164</v>
      </c>
      <c r="B41">
        <v>3036.2</v>
      </c>
    </row>
    <row r="42" spans="1:24" x14ac:dyDescent="0.35">
      <c r="A42" t="s">
        <v>168</v>
      </c>
      <c r="B42">
        <v>105206.8</v>
      </c>
    </row>
    <row r="44" spans="1:24" x14ac:dyDescent="0.35">
      <c r="A44" t="s">
        <v>165</v>
      </c>
      <c r="B44">
        <f>B40-B41+B42</f>
        <v>5617058.7251638146</v>
      </c>
    </row>
    <row r="46" spans="1:24" x14ac:dyDescent="0.35">
      <c r="A46" t="s">
        <v>170</v>
      </c>
      <c r="B46">
        <v>2403</v>
      </c>
    </row>
    <row r="47" spans="1:24" x14ac:dyDescent="0.35">
      <c r="A47" s="60" t="s">
        <v>238</v>
      </c>
      <c r="B47" s="63">
        <f>B44/B46</f>
        <v>2337.5192364393733</v>
      </c>
    </row>
    <row r="48" spans="1:24" x14ac:dyDescent="0.35">
      <c r="A48" s="61" t="s">
        <v>181</v>
      </c>
      <c r="B48" s="62">
        <f>(B47-'Relative Valuation'!D6)/'Relative Valuation'!D6</f>
        <v>0.40076059112471812</v>
      </c>
    </row>
    <row r="51" spans="1:8" x14ac:dyDescent="0.35">
      <c r="C51" s="2" t="s">
        <v>105</v>
      </c>
    </row>
    <row r="52" spans="1:8" ht="18.5" x14ac:dyDescent="0.45">
      <c r="A52" s="65" t="s">
        <v>239</v>
      </c>
      <c r="C52" s="5">
        <v>0.06</v>
      </c>
      <c r="D52" s="4">
        <v>7.0000000000000007E-2</v>
      </c>
      <c r="E52" s="5">
        <v>0.08</v>
      </c>
      <c r="F52" s="5">
        <v>0.09</v>
      </c>
      <c r="G52" s="5">
        <v>0.1</v>
      </c>
      <c r="H52" s="4">
        <v>0.11</v>
      </c>
    </row>
    <row r="53" spans="1:8" x14ac:dyDescent="0.35">
      <c r="B53" s="5">
        <v>5.0000000000000001E-3</v>
      </c>
      <c r="F53" s="66"/>
    </row>
    <row r="54" spans="1:8" x14ac:dyDescent="0.35">
      <c r="B54" s="5">
        <v>0.01</v>
      </c>
    </row>
    <row r="55" spans="1:8" x14ac:dyDescent="0.35">
      <c r="A55" s="2" t="s">
        <v>240</v>
      </c>
      <c r="B55" s="5">
        <v>1.4999999999999999E-2</v>
      </c>
    </row>
    <row r="56" spans="1:8" x14ac:dyDescent="0.35">
      <c r="B56" s="4">
        <v>0.03</v>
      </c>
    </row>
    <row r="57" spans="1:8" x14ac:dyDescent="0.35">
      <c r="B57" s="5">
        <v>3.5000000000000003E-2</v>
      </c>
    </row>
    <row r="58" spans="1:8" x14ac:dyDescent="0.35">
      <c r="B58" s="4">
        <v>0.04</v>
      </c>
    </row>
  </sheetData>
  <mergeCells count="1">
    <mergeCell ref="C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A147-7B4D-4553-BCB9-4506AE1EC49A}">
  <dimension ref="B1:N13"/>
  <sheetViews>
    <sheetView zoomScale="75" workbookViewId="0">
      <selection activeCell="E10" sqref="E10"/>
    </sheetView>
  </sheetViews>
  <sheetFormatPr defaultColWidth="8.90625" defaultRowHeight="14.5" x14ac:dyDescent="0.35"/>
  <cols>
    <col min="2" max="2" width="35.08984375" bestFit="1" customWidth="1"/>
    <col min="3" max="3" width="13.90625" bestFit="1" customWidth="1"/>
    <col min="4" max="4" width="13.453125" bestFit="1" customWidth="1"/>
    <col min="5" max="5" width="14.453125" bestFit="1" customWidth="1"/>
    <col min="6" max="6" width="13.36328125" bestFit="1" customWidth="1"/>
    <col min="7" max="7" width="15.08984375" bestFit="1" customWidth="1"/>
    <col min="8" max="8" width="14.453125" bestFit="1" customWidth="1"/>
    <col min="9" max="9" width="11.90625" bestFit="1" customWidth="1"/>
    <col min="10" max="10" width="6" bestFit="1" customWidth="1"/>
    <col min="11" max="11" width="8" bestFit="1" customWidth="1"/>
    <col min="12" max="12" width="15" bestFit="1" customWidth="1"/>
    <col min="13" max="13" width="15.453125" customWidth="1"/>
    <col min="14" max="14" width="15.36328125" bestFit="1" customWidth="1"/>
  </cols>
  <sheetData>
    <row r="1" spans="2:14" s="2" customFormat="1" x14ac:dyDescent="0.35"/>
    <row r="2" spans="2:14" ht="43.5" x14ac:dyDescent="0.35">
      <c r="B2" s="36" t="s">
        <v>104</v>
      </c>
      <c r="C2" s="35" t="s">
        <v>103</v>
      </c>
      <c r="D2" s="35" t="s">
        <v>102</v>
      </c>
      <c r="E2" s="35" t="s">
        <v>101</v>
      </c>
      <c r="F2" s="35" t="s">
        <v>100</v>
      </c>
      <c r="G2" s="35" t="s">
        <v>99</v>
      </c>
      <c r="H2" s="35" t="s">
        <v>98</v>
      </c>
      <c r="I2" s="35" t="s">
        <v>97</v>
      </c>
      <c r="J2" s="35" t="s">
        <v>96</v>
      </c>
      <c r="K2" s="35" t="s">
        <v>95</v>
      </c>
      <c r="L2" s="35" t="s">
        <v>94</v>
      </c>
      <c r="M2" s="35" t="s">
        <v>93</v>
      </c>
      <c r="N2" s="35" t="s">
        <v>92</v>
      </c>
    </row>
    <row r="3" spans="2:14" x14ac:dyDescent="0.35">
      <c r="B3" s="13" t="s">
        <v>71</v>
      </c>
      <c r="C3" s="13">
        <v>807.36706200000003</v>
      </c>
      <c r="D3" s="13">
        <v>1577.45</v>
      </c>
      <c r="E3" s="29">
        <f t="shared" ref="E3:E8" si="0">C3*D3/1000</f>
        <v>1273.5811719518999</v>
      </c>
      <c r="F3" s="29">
        <v>5.5941000000000001</v>
      </c>
      <c r="G3" s="29">
        <v>56.819800000000001</v>
      </c>
      <c r="H3" s="29">
        <v>1221.2768000000001</v>
      </c>
      <c r="I3" s="34">
        <f>F3/E3</f>
        <v>4.3924173214860271E-3</v>
      </c>
      <c r="J3" s="29">
        <v>0.45200000000000001</v>
      </c>
      <c r="K3" s="28">
        <v>0.28000000000000003</v>
      </c>
      <c r="L3" s="27">
        <f>J3/(1+(1-K3)*I3)</f>
        <v>0.45057503820623868</v>
      </c>
      <c r="M3" s="33">
        <f t="shared" ref="M3:M8" si="1">G3/H3</f>
        <v>4.6524915563777185E-2</v>
      </c>
      <c r="N3" s="32">
        <f>L3/(1-M3)</f>
        <v>0.4725608938933708</v>
      </c>
    </row>
    <row r="4" spans="2:14" x14ac:dyDescent="0.35">
      <c r="B4" s="13" t="s">
        <v>70</v>
      </c>
      <c r="C4" s="13">
        <v>1006.2339899999999</v>
      </c>
      <c r="D4" s="13">
        <v>1206.7</v>
      </c>
      <c r="E4" s="29">
        <f t="shared" si="0"/>
        <v>1214.222555733</v>
      </c>
      <c r="F4" s="29">
        <v>8.0419999999999998</v>
      </c>
      <c r="G4" s="29">
        <v>13.576000000000001</v>
      </c>
      <c r="H4" s="29">
        <v>1203.2349999999999</v>
      </c>
      <c r="I4" s="34">
        <f t="shared" ref="I4:I8" si="2">F4/E4</f>
        <v>6.6231680197583031E-3</v>
      </c>
      <c r="J4" s="29">
        <v>0.48899999999999999</v>
      </c>
      <c r="K4" s="28">
        <v>0.28000000000000003</v>
      </c>
      <c r="L4" s="27">
        <f t="shared" ref="L4:L8" si="3">J4/(1+(1-K4)*I4)</f>
        <v>0.48667918224308554</v>
      </c>
      <c r="M4" s="33">
        <f t="shared" si="1"/>
        <v>1.128291647101356E-2</v>
      </c>
      <c r="N4" s="32">
        <f t="shared" ref="N4:N8" si="4">L4/(1-M4)</f>
        <v>0.49223300613558929</v>
      </c>
    </row>
    <row r="5" spans="2:14" x14ac:dyDescent="0.35">
      <c r="B5" s="13" t="s">
        <v>69</v>
      </c>
      <c r="C5" s="13">
        <f>166.818466-0.289791</f>
        <v>166.52867499999999</v>
      </c>
      <c r="D5" s="13">
        <v>6933.85</v>
      </c>
      <c r="E5" s="29">
        <f t="shared" si="0"/>
        <v>1154.6848531487501</v>
      </c>
      <c r="F5" s="29">
        <v>20.02</v>
      </c>
      <c r="G5" s="29">
        <v>61.326999999999998</v>
      </c>
      <c r="H5" s="29">
        <v>1119.0630000000001</v>
      </c>
      <c r="I5" s="34">
        <f t="shared" si="2"/>
        <v>1.7338064100699657E-2</v>
      </c>
      <c r="J5" s="29">
        <v>0.245</v>
      </c>
      <c r="K5" s="28">
        <v>0.28000000000000003</v>
      </c>
      <c r="L5" s="27">
        <f t="shared" si="3"/>
        <v>0.24197927443671829</v>
      </c>
      <c r="M5" s="33">
        <f t="shared" si="1"/>
        <v>5.4802097826485187E-2</v>
      </c>
      <c r="N5" s="32">
        <f t="shared" si="4"/>
        <v>0.25600911076958455</v>
      </c>
    </row>
    <row r="6" spans="2:14" x14ac:dyDescent="0.35">
      <c r="B6" s="13" t="s">
        <v>68</v>
      </c>
      <c r="C6" s="13">
        <v>338.44544000000002</v>
      </c>
      <c r="D6" s="13">
        <v>3343.65</v>
      </c>
      <c r="E6" s="29">
        <f t="shared" si="0"/>
        <v>1131.6430954560001</v>
      </c>
      <c r="F6" s="29">
        <v>40.393700000000003</v>
      </c>
      <c r="G6" s="29">
        <v>9.8000000000000007</v>
      </c>
      <c r="H6" s="29">
        <v>1164.114</v>
      </c>
      <c r="I6" s="34">
        <f t="shared" si="2"/>
        <v>3.5694734640450573E-2</v>
      </c>
      <c r="J6" s="29">
        <v>0.48699999999999999</v>
      </c>
      <c r="K6" s="28">
        <v>0.28000000000000003</v>
      </c>
      <c r="L6" s="27">
        <f t="shared" si="3"/>
        <v>0.47479760241323493</v>
      </c>
      <c r="M6" s="33">
        <f t="shared" si="1"/>
        <v>8.4184195018700923E-3</v>
      </c>
      <c r="N6" s="32">
        <f t="shared" si="4"/>
        <v>0.47882858228842462</v>
      </c>
    </row>
    <row r="7" spans="2:14" x14ac:dyDescent="0.35">
      <c r="B7" s="13" t="s">
        <v>67</v>
      </c>
      <c r="C7" s="13">
        <v>455.67890799999998</v>
      </c>
      <c r="D7" s="13">
        <v>2117.0500000000002</v>
      </c>
      <c r="E7" s="29">
        <f t="shared" si="0"/>
        <v>964.69503218139994</v>
      </c>
      <c r="F7" s="29">
        <v>29.216999999999999</v>
      </c>
      <c r="G7" s="29">
        <v>18.302099999999999</v>
      </c>
      <c r="H7" s="29">
        <v>966.44</v>
      </c>
      <c r="I7" s="34">
        <f t="shared" si="2"/>
        <v>3.0286255267567373E-2</v>
      </c>
      <c r="J7" s="29">
        <v>0.49199999999999999</v>
      </c>
      <c r="K7" s="28">
        <v>0.28000000000000003</v>
      </c>
      <c r="L7" s="27">
        <f t="shared" si="3"/>
        <v>0.48150035331932195</v>
      </c>
      <c r="M7" s="33">
        <f t="shared" si="1"/>
        <v>1.8937647448367203E-2</v>
      </c>
      <c r="N7" s="32">
        <f t="shared" si="4"/>
        <v>0.49079485321905758</v>
      </c>
    </row>
    <row r="8" spans="2:14" x14ac:dyDescent="0.35">
      <c r="B8" s="13" t="s">
        <v>66</v>
      </c>
      <c r="C8" s="13">
        <v>585.93860900000004</v>
      </c>
      <c r="D8" s="13">
        <v>1522.5</v>
      </c>
      <c r="E8" s="29">
        <f t="shared" si="0"/>
        <v>892.09153220250005</v>
      </c>
      <c r="F8" s="29">
        <v>66.475999999999999</v>
      </c>
      <c r="G8" s="29">
        <v>63.287999999999997</v>
      </c>
      <c r="H8" s="29">
        <v>904.55799999999999</v>
      </c>
      <c r="I8" s="34">
        <f t="shared" si="2"/>
        <v>7.4517017144951778E-2</v>
      </c>
      <c r="J8" s="29">
        <v>0.83</v>
      </c>
      <c r="K8" s="28">
        <v>0.28000000000000003</v>
      </c>
      <c r="L8" s="27">
        <f t="shared" si="3"/>
        <v>0.78773617970564636</v>
      </c>
      <c r="M8" s="33">
        <f t="shared" si="1"/>
        <v>6.9965662787792482E-2</v>
      </c>
      <c r="N8" s="32">
        <f t="shared" si="4"/>
        <v>0.84699687762808618</v>
      </c>
    </row>
    <row r="9" spans="2:14" x14ac:dyDescent="0.35">
      <c r="B9" s="31" t="s">
        <v>91</v>
      </c>
      <c r="C9" s="30"/>
      <c r="D9" s="30"/>
      <c r="E9" s="29"/>
      <c r="F9" s="29"/>
      <c r="G9" s="29"/>
      <c r="H9" s="29"/>
      <c r="I9" s="25">
        <f>AVERAGE(I3:I8)</f>
        <v>2.8141942749152285E-2</v>
      </c>
      <c r="J9" s="24">
        <f>AVERAGE(J3:J8)</f>
        <v>0.4991666666666667</v>
      </c>
      <c r="K9" s="28"/>
      <c r="L9" s="27"/>
      <c r="M9" s="21">
        <f>AVERAGE(M3:M8)</f>
        <v>3.4988609933217618E-2</v>
      </c>
      <c r="N9" s="20">
        <f>AVERAGE(N3:N8)</f>
        <v>0.50623722065568544</v>
      </c>
    </row>
    <row r="10" spans="2:14" x14ac:dyDescent="0.35">
      <c r="B10" s="26" t="s">
        <v>64</v>
      </c>
      <c r="C10" s="13">
        <v>2399.3349699999999</v>
      </c>
      <c r="D10" s="13">
        <v>1668.75</v>
      </c>
      <c r="E10" s="24">
        <f>C10*D10/1000</f>
        <v>4003.8902311874995</v>
      </c>
      <c r="F10" s="24">
        <v>32.736699999999999</v>
      </c>
      <c r="G10" s="24">
        <v>191.05199999999999</v>
      </c>
      <c r="H10" s="24">
        <v>4136.5910000000003</v>
      </c>
      <c r="I10" s="25">
        <f>F10/E10</f>
        <v>8.1762231504260638E-3</v>
      </c>
      <c r="J10" s="24">
        <v>0.74</v>
      </c>
      <c r="K10" s="23">
        <v>0.28000000000000003</v>
      </c>
      <c r="L10" s="22"/>
      <c r="M10" s="21">
        <f>+G10/H10</f>
        <v>4.6185856904876497E-2</v>
      </c>
      <c r="N10" s="20"/>
    </row>
    <row r="11" spans="2:14" x14ac:dyDescent="0.35">
      <c r="B11" s="26" t="s">
        <v>90</v>
      </c>
      <c r="C11" s="64">
        <f>N9*(1+(1-K10)*I10)</f>
        <v>0.50921737876354078</v>
      </c>
      <c r="D11" s="25"/>
      <c r="E11" s="24"/>
      <c r="F11" s="24"/>
      <c r="G11" s="24"/>
      <c r="H11" s="24"/>
      <c r="I11" s="25"/>
      <c r="J11" s="24"/>
      <c r="K11" s="23"/>
      <c r="L11" s="22"/>
      <c r="M11" s="21"/>
      <c r="N11" s="20"/>
    </row>
    <row r="13" spans="2:14" x14ac:dyDescent="0.35">
      <c r="B13" s="19"/>
      <c r="L13" s="18"/>
      <c r="M13" s="1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E66B-225B-4005-98C1-E2B310E5B744}">
  <dimension ref="A1:F319"/>
  <sheetViews>
    <sheetView topLeftCell="A2" zoomScale="75" workbookViewId="0">
      <selection activeCell="F3" sqref="F3"/>
    </sheetView>
  </sheetViews>
  <sheetFormatPr defaultRowHeight="14.5" x14ac:dyDescent="0.35"/>
  <cols>
    <col min="1" max="1" width="10.453125" bestFit="1" customWidth="1"/>
    <col min="2" max="2" width="13.08984375" bestFit="1" customWidth="1"/>
    <col min="5" max="5" width="22.54296875" bestFit="1" customWidth="1"/>
  </cols>
  <sheetData>
    <row r="1" spans="1:6" x14ac:dyDescent="0.35">
      <c r="A1" t="s">
        <v>125</v>
      </c>
      <c r="B1" t="s">
        <v>124</v>
      </c>
      <c r="C1" t="s">
        <v>123</v>
      </c>
    </row>
    <row r="2" spans="1:6" x14ac:dyDescent="0.35">
      <c r="A2" s="40">
        <v>45505</v>
      </c>
      <c r="B2">
        <v>6.9729999999999999</v>
      </c>
      <c r="C2">
        <f t="shared" ref="C2:C65" si="0">1+(B2/100)</f>
        <v>1.0697300000000001</v>
      </c>
    </row>
    <row r="3" spans="1:6" x14ac:dyDescent="0.35">
      <c r="A3" s="40">
        <v>45474</v>
      </c>
      <c r="B3">
        <v>6.9240000000000004</v>
      </c>
      <c r="C3">
        <f t="shared" si="0"/>
        <v>1.06924</v>
      </c>
      <c r="E3" t="s">
        <v>122</v>
      </c>
      <c r="F3" s="41">
        <f>GEOMEAN(C2:C319)-1</f>
        <v>7.8118206749620667E-2</v>
      </c>
    </row>
    <row r="4" spans="1:6" x14ac:dyDescent="0.35">
      <c r="A4" s="40">
        <v>45444</v>
      </c>
      <c r="B4">
        <v>7.008</v>
      </c>
      <c r="C4">
        <f t="shared" si="0"/>
        <v>1.0700799999999999</v>
      </c>
    </row>
    <row r="5" spans="1:6" x14ac:dyDescent="0.35">
      <c r="A5" s="40">
        <v>45413</v>
      </c>
      <c r="B5">
        <v>6.9859999999999998</v>
      </c>
      <c r="C5">
        <f t="shared" si="0"/>
        <v>1.06986</v>
      </c>
    </row>
    <row r="6" spans="1:6" x14ac:dyDescent="0.35">
      <c r="A6" s="40">
        <v>45383</v>
      </c>
      <c r="B6">
        <v>7.1950000000000003</v>
      </c>
      <c r="C6">
        <f t="shared" si="0"/>
        <v>1.07195</v>
      </c>
    </row>
    <row r="7" spans="1:6" x14ac:dyDescent="0.35">
      <c r="A7" s="40">
        <v>45352</v>
      </c>
      <c r="B7">
        <v>7.0519999999999996</v>
      </c>
      <c r="C7">
        <f t="shared" si="0"/>
        <v>1.0705199999999999</v>
      </c>
    </row>
    <row r="8" spans="1:6" x14ac:dyDescent="0.35">
      <c r="A8" s="40">
        <v>45323</v>
      </c>
      <c r="B8">
        <v>7.0780000000000003</v>
      </c>
      <c r="C8">
        <f t="shared" si="0"/>
        <v>1.0707800000000001</v>
      </c>
    </row>
    <row r="9" spans="1:6" x14ac:dyDescent="0.35">
      <c r="A9" s="40">
        <v>45292</v>
      </c>
      <c r="B9">
        <v>7.1440000000000001</v>
      </c>
      <c r="C9">
        <f t="shared" si="0"/>
        <v>1.0714399999999999</v>
      </c>
    </row>
    <row r="10" spans="1:6" x14ac:dyDescent="0.35">
      <c r="A10" s="40">
        <v>45261</v>
      </c>
      <c r="B10">
        <v>7.1760000000000002</v>
      </c>
      <c r="C10">
        <f t="shared" si="0"/>
        <v>1.07176</v>
      </c>
    </row>
    <row r="11" spans="1:6" x14ac:dyDescent="0.35">
      <c r="A11" s="40">
        <v>45231</v>
      </c>
      <c r="B11">
        <v>7.2789999999999999</v>
      </c>
      <c r="C11">
        <f t="shared" si="0"/>
        <v>1.0727899999999999</v>
      </c>
    </row>
    <row r="12" spans="1:6" x14ac:dyDescent="0.35">
      <c r="A12" s="40">
        <v>45200</v>
      </c>
      <c r="B12">
        <v>7.351</v>
      </c>
      <c r="C12">
        <f t="shared" si="0"/>
        <v>1.07351</v>
      </c>
    </row>
    <row r="13" spans="1:6" x14ac:dyDescent="0.35">
      <c r="A13" s="40">
        <v>45170</v>
      </c>
      <c r="B13">
        <v>7.21</v>
      </c>
      <c r="C13">
        <f t="shared" si="0"/>
        <v>1.0721000000000001</v>
      </c>
    </row>
    <row r="14" spans="1:6" x14ac:dyDescent="0.35">
      <c r="A14" s="40">
        <v>45139</v>
      </c>
      <c r="B14">
        <v>7.1660000000000004</v>
      </c>
      <c r="C14">
        <f t="shared" si="0"/>
        <v>1.0716600000000001</v>
      </c>
    </row>
    <row r="15" spans="1:6" x14ac:dyDescent="0.35">
      <c r="A15" s="40">
        <v>45108</v>
      </c>
      <c r="B15">
        <v>7.1719999999999997</v>
      </c>
      <c r="C15">
        <f t="shared" si="0"/>
        <v>1.07172</v>
      </c>
    </row>
    <row r="16" spans="1:6" x14ac:dyDescent="0.35">
      <c r="A16" s="40">
        <v>45078</v>
      </c>
      <c r="B16">
        <v>7.11</v>
      </c>
      <c r="C16">
        <f t="shared" si="0"/>
        <v>1.0710999999999999</v>
      </c>
    </row>
    <row r="17" spans="1:3" x14ac:dyDescent="0.35">
      <c r="A17" s="40">
        <v>45047</v>
      </c>
      <c r="B17">
        <v>6.9889999999999999</v>
      </c>
      <c r="C17">
        <f t="shared" si="0"/>
        <v>1.06989</v>
      </c>
    </row>
    <row r="18" spans="1:3" x14ac:dyDescent="0.35">
      <c r="A18" s="40">
        <v>45017</v>
      </c>
      <c r="B18">
        <v>7.1159999999999997</v>
      </c>
      <c r="C18">
        <f t="shared" si="0"/>
        <v>1.0711599999999999</v>
      </c>
    </row>
    <row r="19" spans="1:3" x14ac:dyDescent="0.35">
      <c r="A19" s="40">
        <v>44986</v>
      </c>
      <c r="B19">
        <v>7.3150000000000004</v>
      </c>
      <c r="C19">
        <f t="shared" si="0"/>
        <v>1.07315</v>
      </c>
    </row>
    <row r="20" spans="1:3" x14ac:dyDescent="0.35">
      <c r="A20" s="40">
        <v>44958</v>
      </c>
      <c r="B20">
        <v>7.4569999999999999</v>
      </c>
      <c r="C20">
        <f t="shared" si="0"/>
        <v>1.07457</v>
      </c>
    </row>
    <row r="21" spans="1:3" x14ac:dyDescent="0.35">
      <c r="A21" s="40">
        <v>44927</v>
      </c>
      <c r="B21">
        <v>7.343</v>
      </c>
      <c r="C21">
        <f t="shared" si="0"/>
        <v>1.0734300000000001</v>
      </c>
    </row>
    <row r="22" spans="1:3" x14ac:dyDescent="0.35">
      <c r="A22" s="40">
        <v>44896</v>
      </c>
      <c r="B22">
        <v>7.327</v>
      </c>
      <c r="C22">
        <f t="shared" si="0"/>
        <v>1.0732699999999999</v>
      </c>
    </row>
    <row r="23" spans="1:3" x14ac:dyDescent="0.35">
      <c r="A23" s="40">
        <v>44866</v>
      </c>
      <c r="B23">
        <v>7.28</v>
      </c>
      <c r="C23">
        <f t="shared" si="0"/>
        <v>1.0728</v>
      </c>
    </row>
    <row r="24" spans="1:3" x14ac:dyDescent="0.35">
      <c r="A24" s="40">
        <v>44835</v>
      </c>
      <c r="B24">
        <v>7.4450000000000003</v>
      </c>
      <c r="C24">
        <f t="shared" si="0"/>
        <v>1.0744499999999999</v>
      </c>
    </row>
    <row r="25" spans="1:3" x14ac:dyDescent="0.35">
      <c r="A25" s="40">
        <v>44805</v>
      </c>
      <c r="B25">
        <v>7.3979999999999997</v>
      </c>
      <c r="C25">
        <f t="shared" si="0"/>
        <v>1.0739799999999999</v>
      </c>
    </row>
    <row r="26" spans="1:3" x14ac:dyDescent="0.35">
      <c r="A26" s="40">
        <v>44774</v>
      </c>
      <c r="B26">
        <v>7.1879999999999997</v>
      </c>
      <c r="C26">
        <f t="shared" si="0"/>
        <v>1.0718799999999999</v>
      </c>
    </row>
    <row r="27" spans="1:3" x14ac:dyDescent="0.35">
      <c r="A27" s="40">
        <v>44743</v>
      </c>
      <c r="B27">
        <v>7.32</v>
      </c>
      <c r="C27">
        <f t="shared" si="0"/>
        <v>1.0731999999999999</v>
      </c>
    </row>
    <row r="28" spans="1:3" x14ac:dyDescent="0.35">
      <c r="A28" s="40">
        <v>44713</v>
      </c>
      <c r="B28">
        <v>7.45</v>
      </c>
      <c r="C28">
        <f t="shared" si="0"/>
        <v>1.0745</v>
      </c>
    </row>
    <row r="29" spans="1:3" x14ac:dyDescent="0.35">
      <c r="A29" s="40">
        <v>44682</v>
      </c>
      <c r="B29">
        <v>7.415</v>
      </c>
      <c r="C29">
        <f t="shared" si="0"/>
        <v>1.0741499999999999</v>
      </c>
    </row>
    <row r="30" spans="1:3" x14ac:dyDescent="0.35">
      <c r="A30" s="40">
        <v>44652</v>
      </c>
      <c r="B30">
        <v>7.1390000000000002</v>
      </c>
      <c r="C30">
        <f t="shared" si="0"/>
        <v>1.0713900000000001</v>
      </c>
    </row>
    <row r="31" spans="1:3" x14ac:dyDescent="0.35">
      <c r="A31" s="40">
        <v>44621</v>
      </c>
      <c r="B31">
        <v>6.843</v>
      </c>
      <c r="C31">
        <f t="shared" si="0"/>
        <v>1.06843</v>
      </c>
    </row>
    <row r="32" spans="1:3" x14ac:dyDescent="0.35">
      <c r="A32" s="40">
        <v>44593</v>
      </c>
      <c r="B32">
        <v>6.77</v>
      </c>
      <c r="C32">
        <f t="shared" si="0"/>
        <v>1.0677000000000001</v>
      </c>
    </row>
    <row r="33" spans="1:3" x14ac:dyDescent="0.35">
      <c r="A33" s="40">
        <v>44562</v>
      </c>
      <c r="B33">
        <v>6.6840000000000002</v>
      </c>
      <c r="C33">
        <f t="shared" si="0"/>
        <v>1.06684</v>
      </c>
    </row>
    <row r="34" spans="1:3" x14ac:dyDescent="0.35">
      <c r="A34" s="40">
        <v>44531</v>
      </c>
      <c r="B34">
        <v>6.4539999999999997</v>
      </c>
      <c r="C34">
        <f t="shared" si="0"/>
        <v>1.06454</v>
      </c>
    </row>
    <row r="35" spans="1:3" x14ac:dyDescent="0.35">
      <c r="A35" s="40">
        <v>44501</v>
      </c>
      <c r="B35">
        <v>6.3259999999999996</v>
      </c>
      <c r="C35">
        <f t="shared" si="0"/>
        <v>1.0632600000000001</v>
      </c>
    </row>
    <row r="36" spans="1:3" x14ac:dyDescent="0.35">
      <c r="A36" s="40">
        <v>44470</v>
      </c>
      <c r="B36">
        <v>6.3879999999999999</v>
      </c>
      <c r="C36">
        <f t="shared" si="0"/>
        <v>1.0638799999999999</v>
      </c>
    </row>
    <row r="37" spans="1:3" x14ac:dyDescent="0.35">
      <c r="A37" s="40">
        <v>44440</v>
      </c>
      <c r="B37">
        <v>6.2229999999999999</v>
      </c>
      <c r="C37">
        <f t="shared" si="0"/>
        <v>1.06223</v>
      </c>
    </row>
    <row r="38" spans="1:3" x14ac:dyDescent="0.35">
      <c r="A38" s="40">
        <v>44409</v>
      </c>
      <c r="B38">
        <v>6.2149999999999999</v>
      </c>
      <c r="C38">
        <f t="shared" si="0"/>
        <v>1.0621499999999999</v>
      </c>
    </row>
    <row r="39" spans="1:3" x14ac:dyDescent="0.35">
      <c r="A39" s="40">
        <v>44378</v>
      </c>
      <c r="B39">
        <v>6.2039999999999997</v>
      </c>
      <c r="C39">
        <f t="shared" si="0"/>
        <v>1.0620400000000001</v>
      </c>
    </row>
    <row r="40" spans="1:3" x14ac:dyDescent="0.35">
      <c r="A40" s="40">
        <v>44348</v>
      </c>
      <c r="B40">
        <v>6.0510000000000002</v>
      </c>
      <c r="C40">
        <f t="shared" si="0"/>
        <v>1.0605100000000001</v>
      </c>
    </row>
    <row r="41" spans="1:3" x14ac:dyDescent="0.35">
      <c r="A41" s="40">
        <v>44317</v>
      </c>
      <c r="B41">
        <v>6.0220000000000002</v>
      </c>
      <c r="C41">
        <f t="shared" si="0"/>
        <v>1.0602199999999999</v>
      </c>
    </row>
    <row r="42" spans="1:3" x14ac:dyDescent="0.35">
      <c r="A42" s="40">
        <v>44287</v>
      </c>
      <c r="B42">
        <v>6.03</v>
      </c>
      <c r="C42">
        <f t="shared" si="0"/>
        <v>1.0603</v>
      </c>
    </row>
    <row r="43" spans="1:3" x14ac:dyDescent="0.35">
      <c r="A43" s="40">
        <v>44256</v>
      </c>
      <c r="B43">
        <v>6.1769999999999996</v>
      </c>
      <c r="C43">
        <f t="shared" si="0"/>
        <v>1.0617700000000001</v>
      </c>
    </row>
    <row r="44" spans="1:3" x14ac:dyDescent="0.35">
      <c r="A44" s="40">
        <v>44228</v>
      </c>
      <c r="B44">
        <v>6.2290000000000001</v>
      </c>
      <c r="C44">
        <f t="shared" si="0"/>
        <v>1.06229</v>
      </c>
    </row>
    <row r="45" spans="1:3" x14ac:dyDescent="0.35">
      <c r="A45" s="40">
        <v>44197</v>
      </c>
      <c r="B45">
        <v>5.9489999999999998</v>
      </c>
      <c r="C45">
        <f t="shared" si="0"/>
        <v>1.05949</v>
      </c>
    </row>
    <row r="46" spans="1:3" x14ac:dyDescent="0.35">
      <c r="A46" s="40">
        <v>44166</v>
      </c>
      <c r="B46">
        <v>5.8940000000000001</v>
      </c>
      <c r="C46">
        <f t="shared" si="0"/>
        <v>1.05894</v>
      </c>
    </row>
    <row r="47" spans="1:3" x14ac:dyDescent="0.35">
      <c r="A47" s="40">
        <v>44136</v>
      </c>
      <c r="B47">
        <v>5.9109999999999996</v>
      </c>
      <c r="C47">
        <f t="shared" si="0"/>
        <v>1.05911</v>
      </c>
    </row>
    <row r="48" spans="1:3" x14ac:dyDescent="0.35">
      <c r="A48" s="40">
        <v>44105</v>
      </c>
      <c r="B48">
        <v>5.8810000000000002</v>
      </c>
      <c r="C48">
        <f t="shared" si="0"/>
        <v>1.05881</v>
      </c>
    </row>
    <row r="49" spans="1:3" x14ac:dyDescent="0.35">
      <c r="A49" s="40">
        <v>44075</v>
      </c>
      <c r="B49">
        <v>6.0149999999999997</v>
      </c>
      <c r="C49">
        <f t="shared" si="0"/>
        <v>1.0601499999999999</v>
      </c>
    </row>
    <row r="50" spans="1:3" x14ac:dyDescent="0.35">
      <c r="A50" s="40">
        <v>44044</v>
      </c>
      <c r="B50">
        <v>6.0780000000000003</v>
      </c>
      <c r="C50">
        <f t="shared" si="0"/>
        <v>1.0607800000000001</v>
      </c>
    </row>
    <row r="51" spans="1:3" x14ac:dyDescent="0.35">
      <c r="A51" s="40">
        <v>44013</v>
      </c>
      <c r="B51">
        <v>5.8369999999999997</v>
      </c>
      <c r="C51">
        <f t="shared" si="0"/>
        <v>1.05837</v>
      </c>
    </row>
    <row r="52" spans="1:3" x14ac:dyDescent="0.35">
      <c r="A52" s="40">
        <v>43983</v>
      </c>
      <c r="B52">
        <v>5.8879999999999999</v>
      </c>
      <c r="C52">
        <f t="shared" si="0"/>
        <v>1.05888</v>
      </c>
    </row>
    <row r="53" spans="1:3" x14ac:dyDescent="0.35">
      <c r="A53" s="40">
        <v>43952</v>
      </c>
      <c r="B53">
        <v>6.0129999999999999</v>
      </c>
      <c r="C53">
        <f t="shared" si="0"/>
        <v>1.06013</v>
      </c>
    </row>
    <row r="54" spans="1:3" x14ac:dyDescent="0.35">
      <c r="A54" s="40">
        <v>43922</v>
      </c>
      <c r="B54">
        <v>6.11</v>
      </c>
      <c r="C54">
        <f t="shared" si="0"/>
        <v>1.0610999999999999</v>
      </c>
    </row>
    <row r="55" spans="1:3" x14ac:dyDescent="0.35">
      <c r="A55" s="40">
        <v>43891</v>
      </c>
      <c r="B55">
        <v>6.1379999999999999</v>
      </c>
      <c r="C55">
        <f t="shared" si="0"/>
        <v>1.06138</v>
      </c>
    </row>
    <row r="56" spans="1:3" x14ac:dyDescent="0.35">
      <c r="A56" s="40">
        <v>43862</v>
      </c>
      <c r="B56">
        <v>6.3710000000000004</v>
      </c>
      <c r="C56">
        <f t="shared" si="0"/>
        <v>1.0637099999999999</v>
      </c>
    </row>
    <row r="57" spans="1:3" x14ac:dyDescent="0.35">
      <c r="A57" s="40">
        <v>43831</v>
      </c>
      <c r="B57">
        <v>6.5990000000000002</v>
      </c>
      <c r="C57">
        <f t="shared" si="0"/>
        <v>1.06599</v>
      </c>
    </row>
    <row r="58" spans="1:3" x14ac:dyDescent="0.35">
      <c r="A58" s="40">
        <v>43800</v>
      </c>
      <c r="B58">
        <v>6.5540000000000003</v>
      </c>
      <c r="C58">
        <f t="shared" si="0"/>
        <v>1.0655399999999999</v>
      </c>
    </row>
    <row r="59" spans="1:3" x14ac:dyDescent="0.35">
      <c r="A59" s="40">
        <v>43770</v>
      </c>
      <c r="B59">
        <v>6.46</v>
      </c>
      <c r="C59">
        <f t="shared" si="0"/>
        <v>1.0646</v>
      </c>
    </row>
    <row r="60" spans="1:3" x14ac:dyDescent="0.35">
      <c r="A60" s="40">
        <v>43739</v>
      </c>
      <c r="B60">
        <v>6.6429999999999998</v>
      </c>
      <c r="C60">
        <f t="shared" si="0"/>
        <v>1.06643</v>
      </c>
    </row>
    <row r="61" spans="1:3" x14ac:dyDescent="0.35">
      <c r="A61" s="40">
        <v>43709</v>
      </c>
      <c r="B61">
        <v>6.6950000000000003</v>
      </c>
      <c r="C61">
        <f t="shared" si="0"/>
        <v>1.0669500000000001</v>
      </c>
    </row>
    <row r="62" spans="1:3" x14ac:dyDescent="0.35">
      <c r="A62" s="40">
        <v>43678</v>
      </c>
      <c r="B62">
        <v>6.556</v>
      </c>
      <c r="C62">
        <f t="shared" si="0"/>
        <v>1.0655600000000001</v>
      </c>
    </row>
    <row r="63" spans="1:3" x14ac:dyDescent="0.35">
      <c r="A63" s="40">
        <v>43647</v>
      </c>
      <c r="B63">
        <v>6.3689999999999998</v>
      </c>
      <c r="C63">
        <f t="shared" si="0"/>
        <v>1.06369</v>
      </c>
    </row>
    <row r="64" spans="1:3" x14ac:dyDescent="0.35">
      <c r="A64" s="40">
        <v>43617</v>
      </c>
      <c r="B64">
        <v>6.8789999999999996</v>
      </c>
      <c r="C64">
        <f t="shared" si="0"/>
        <v>1.0687899999999999</v>
      </c>
    </row>
    <row r="65" spans="1:3" x14ac:dyDescent="0.35">
      <c r="A65" s="40">
        <v>43586</v>
      </c>
      <c r="B65">
        <v>7.032</v>
      </c>
      <c r="C65">
        <f t="shared" si="0"/>
        <v>1.0703199999999999</v>
      </c>
    </row>
    <row r="66" spans="1:3" x14ac:dyDescent="0.35">
      <c r="A66" s="40">
        <v>43556</v>
      </c>
      <c r="B66">
        <v>7.4139999999999997</v>
      </c>
      <c r="C66">
        <f t="shared" ref="C66:C129" si="1">1+(B66/100)</f>
        <v>1.0741400000000001</v>
      </c>
    </row>
    <row r="67" spans="1:3" x14ac:dyDescent="0.35">
      <c r="A67" s="40">
        <v>43525</v>
      </c>
      <c r="B67">
        <v>7.3460000000000001</v>
      </c>
      <c r="C67">
        <f t="shared" si="1"/>
        <v>1.0734600000000001</v>
      </c>
    </row>
    <row r="68" spans="1:3" x14ac:dyDescent="0.35">
      <c r="A68" s="40">
        <v>43497</v>
      </c>
      <c r="B68">
        <v>7.5910000000000002</v>
      </c>
      <c r="C68">
        <f t="shared" si="1"/>
        <v>1.0759099999999999</v>
      </c>
    </row>
    <row r="69" spans="1:3" x14ac:dyDescent="0.35">
      <c r="A69" s="40">
        <v>43466</v>
      </c>
      <c r="B69">
        <v>7.4829999999999997</v>
      </c>
      <c r="C69">
        <f t="shared" si="1"/>
        <v>1.07483</v>
      </c>
    </row>
    <row r="70" spans="1:3" x14ac:dyDescent="0.35">
      <c r="A70" s="40">
        <v>43435</v>
      </c>
      <c r="B70">
        <v>7.37</v>
      </c>
      <c r="C70">
        <f t="shared" si="1"/>
        <v>1.0737000000000001</v>
      </c>
    </row>
    <row r="71" spans="1:3" x14ac:dyDescent="0.35">
      <c r="A71" s="40">
        <v>43405</v>
      </c>
      <c r="B71">
        <v>7.6070000000000002</v>
      </c>
      <c r="C71">
        <f t="shared" si="1"/>
        <v>1.0760700000000001</v>
      </c>
    </row>
    <row r="72" spans="1:3" x14ac:dyDescent="0.35">
      <c r="A72" s="40">
        <v>43374</v>
      </c>
      <c r="B72">
        <v>7.8529999999999998</v>
      </c>
      <c r="C72">
        <f t="shared" si="1"/>
        <v>1.07853</v>
      </c>
    </row>
    <row r="73" spans="1:3" x14ac:dyDescent="0.35">
      <c r="A73" s="40">
        <v>43344</v>
      </c>
      <c r="B73">
        <v>8.0239999999999991</v>
      </c>
      <c r="C73">
        <f t="shared" si="1"/>
        <v>1.0802400000000001</v>
      </c>
    </row>
    <row r="74" spans="1:3" x14ac:dyDescent="0.35">
      <c r="A74" s="40">
        <v>43313</v>
      </c>
      <c r="B74">
        <v>7.9509999999999996</v>
      </c>
      <c r="C74">
        <f t="shared" si="1"/>
        <v>1.07951</v>
      </c>
    </row>
    <row r="75" spans="1:3" x14ac:dyDescent="0.35">
      <c r="A75" s="40">
        <v>43282</v>
      </c>
      <c r="B75">
        <v>7.7720000000000002</v>
      </c>
      <c r="C75">
        <f t="shared" si="1"/>
        <v>1.07772</v>
      </c>
    </row>
    <row r="76" spans="1:3" x14ac:dyDescent="0.35">
      <c r="A76" s="40">
        <v>43252</v>
      </c>
      <c r="B76">
        <v>7.9029999999999996</v>
      </c>
      <c r="C76">
        <f t="shared" si="1"/>
        <v>1.0790299999999999</v>
      </c>
    </row>
    <row r="77" spans="1:3" x14ac:dyDescent="0.35">
      <c r="A77" s="40">
        <v>43221</v>
      </c>
      <c r="B77">
        <v>7.8259999999999996</v>
      </c>
      <c r="C77">
        <f t="shared" si="1"/>
        <v>1.07826</v>
      </c>
    </row>
    <row r="78" spans="1:3" x14ac:dyDescent="0.35">
      <c r="A78" s="40">
        <v>43191</v>
      </c>
      <c r="B78">
        <v>7.7670000000000003</v>
      </c>
      <c r="C78">
        <f t="shared" si="1"/>
        <v>1.0776699999999999</v>
      </c>
    </row>
    <row r="79" spans="1:3" x14ac:dyDescent="0.35">
      <c r="A79" s="40">
        <v>43160</v>
      </c>
      <c r="B79">
        <v>7.3979999999999997</v>
      </c>
      <c r="C79">
        <f t="shared" si="1"/>
        <v>1.0739799999999999</v>
      </c>
    </row>
    <row r="80" spans="1:3" x14ac:dyDescent="0.35">
      <c r="A80" s="40">
        <v>43132</v>
      </c>
      <c r="B80">
        <v>7.726</v>
      </c>
      <c r="C80">
        <f t="shared" si="1"/>
        <v>1.0772599999999999</v>
      </c>
    </row>
    <row r="81" spans="1:3" x14ac:dyDescent="0.35">
      <c r="A81" s="40">
        <v>43101</v>
      </c>
      <c r="B81">
        <v>7.43</v>
      </c>
      <c r="C81">
        <f t="shared" si="1"/>
        <v>1.0743</v>
      </c>
    </row>
    <row r="82" spans="1:3" x14ac:dyDescent="0.35">
      <c r="A82" s="40">
        <v>43070</v>
      </c>
      <c r="B82">
        <v>7.3259999999999996</v>
      </c>
      <c r="C82">
        <f t="shared" si="1"/>
        <v>1.0732599999999999</v>
      </c>
    </row>
    <row r="83" spans="1:3" x14ac:dyDescent="0.35">
      <c r="A83" s="40">
        <v>43040</v>
      </c>
      <c r="B83">
        <v>7.0579999999999998</v>
      </c>
      <c r="C83">
        <f t="shared" si="1"/>
        <v>1.0705800000000001</v>
      </c>
    </row>
    <row r="84" spans="1:3" x14ac:dyDescent="0.35">
      <c r="A84" s="40">
        <v>43009</v>
      </c>
      <c r="B84">
        <v>6.8620000000000001</v>
      </c>
      <c r="C84">
        <f t="shared" si="1"/>
        <v>1.0686199999999999</v>
      </c>
    </row>
    <row r="85" spans="1:3" x14ac:dyDescent="0.35">
      <c r="A85" s="40">
        <v>42979</v>
      </c>
      <c r="B85">
        <v>6.6630000000000003</v>
      </c>
      <c r="C85">
        <f t="shared" si="1"/>
        <v>1.06663</v>
      </c>
    </row>
    <row r="86" spans="1:3" x14ac:dyDescent="0.35">
      <c r="A86" s="40">
        <v>42948</v>
      </c>
      <c r="B86">
        <v>6.5250000000000004</v>
      </c>
      <c r="C86">
        <f t="shared" si="1"/>
        <v>1.06525</v>
      </c>
    </row>
    <row r="87" spans="1:3" x14ac:dyDescent="0.35">
      <c r="A87" s="40">
        <v>42917</v>
      </c>
      <c r="B87">
        <v>6.4649999999999999</v>
      </c>
      <c r="C87">
        <f t="shared" si="1"/>
        <v>1.0646500000000001</v>
      </c>
    </row>
    <row r="88" spans="1:3" x14ac:dyDescent="0.35">
      <c r="A88" s="40">
        <v>42887</v>
      </c>
      <c r="B88">
        <v>6.5110000000000001</v>
      </c>
      <c r="C88">
        <f t="shared" si="1"/>
        <v>1.06511</v>
      </c>
    </row>
    <row r="89" spans="1:3" x14ac:dyDescent="0.35">
      <c r="A89" s="40">
        <v>42856</v>
      </c>
      <c r="B89">
        <v>6.6609999999999996</v>
      </c>
      <c r="C89">
        <f t="shared" si="1"/>
        <v>1.0666100000000001</v>
      </c>
    </row>
    <row r="90" spans="1:3" x14ac:dyDescent="0.35">
      <c r="A90" s="40">
        <v>42826</v>
      </c>
      <c r="B90">
        <v>6.9610000000000003</v>
      </c>
      <c r="C90">
        <f t="shared" si="1"/>
        <v>1.0696099999999999</v>
      </c>
    </row>
    <row r="91" spans="1:3" x14ac:dyDescent="0.35">
      <c r="A91" s="40">
        <v>42795</v>
      </c>
      <c r="B91">
        <v>6.6580000000000004</v>
      </c>
      <c r="C91">
        <f t="shared" si="1"/>
        <v>1.0665800000000001</v>
      </c>
    </row>
    <row r="92" spans="1:3" x14ac:dyDescent="0.35">
      <c r="A92" s="40">
        <v>42767</v>
      </c>
      <c r="B92">
        <v>6.87</v>
      </c>
      <c r="C92">
        <f t="shared" si="1"/>
        <v>1.0687</v>
      </c>
    </row>
    <row r="93" spans="1:3" x14ac:dyDescent="0.35">
      <c r="A93" s="40">
        <v>42736</v>
      </c>
      <c r="B93">
        <v>6.407</v>
      </c>
      <c r="C93">
        <f t="shared" si="1"/>
        <v>1.0640700000000001</v>
      </c>
    </row>
    <row r="94" spans="1:3" x14ac:dyDescent="0.35">
      <c r="A94" s="40">
        <v>42705</v>
      </c>
      <c r="B94">
        <v>6.5119999999999996</v>
      </c>
      <c r="C94">
        <f t="shared" si="1"/>
        <v>1.0651200000000001</v>
      </c>
    </row>
    <row r="95" spans="1:3" x14ac:dyDescent="0.35">
      <c r="A95" s="40">
        <v>42675</v>
      </c>
      <c r="B95">
        <v>6.2430000000000003</v>
      </c>
      <c r="C95">
        <f t="shared" si="1"/>
        <v>1.06243</v>
      </c>
    </row>
    <row r="96" spans="1:3" x14ac:dyDescent="0.35">
      <c r="A96" s="40">
        <v>42644</v>
      </c>
      <c r="B96">
        <v>6.8849999999999998</v>
      </c>
      <c r="C96">
        <f t="shared" si="1"/>
        <v>1.0688500000000001</v>
      </c>
    </row>
    <row r="97" spans="1:3" x14ac:dyDescent="0.35">
      <c r="A97" s="40">
        <v>42614</v>
      </c>
      <c r="B97">
        <v>6.9580000000000002</v>
      </c>
      <c r="C97">
        <f t="shared" si="1"/>
        <v>1.06958</v>
      </c>
    </row>
    <row r="98" spans="1:3" x14ac:dyDescent="0.35">
      <c r="A98" s="40">
        <v>42583</v>
      </c>
      <c r="B98">
        <v>7.11</v>
      </c>
      <c r="C98">
        <f t="shared" si="1"/>
        <v>1.0710999999999999</v>
      </c>
    </row>
    <row r="99" spans="1:3" x14ac:dyDescent="0.35">
      <c r="A99" s="40">
        <v>42552</v>
      </c>
      <c r="B99">
        <v>7.1630000000000003</v>
      </c>
      <c r="C99">
        <f t="shared" si="1"/>
        <v>1.0716300000000001</v>
      </c>
    </row>
    <row r="100" spans="1:3" x14ac:dyDescent="0.35">
      <c r="A100" s="40">
        <v>42522</v>
      </c>
      <c r="B100">
        <v>7.4480000000000004</v>
      </c>
      <c r="C100">
        <f t="shared" si="1"/>
        <v>1.0744800000000001</v>
      </c>
    </row>
    <row r="101" spans="1:3" x14ac:dyDescent="0.35">
      <c r="A101" s="40">
        <v>42491</v>
      </c>
      <c r="B101">
        <v>7.4710000000000001</v>
      </c>
      <c r="C101">
        <f t="shared" si="1"/>
        <v>1.0747100000000001</v>
      </c>
    </row>
    <row r="102" spans="1:3" x14ac:dyDescent="0.35">
      <c r="A102" s="40">
        <v>42461</v>
      </c>
      <c r="B102">
        <v>7.4349999999999996</v>
      </c>
      <c r="C102">
        <f t="shared" si="1"/>
        <v>1.0743499999999999</v>
      </c>
    </row>
    <row r="103" spans="1:3" x14ac:dyDescent="0.35">
      <c r="A103" s="40">
        <v>42430</v>
      </c>
      <c r="B103">
        <v>7.4589999999999996</v>
      </c>
      <c r="C103">
        <f t="shared" si="1"/>
        <v>1.0745899999999999</v>
      </c>
    </row>
    <row r="104" spans="1:3" x14ac:dyDescent="0.35">
      <c r="A104" s="40">
        <v>42401</v>
      </c>
      <c r="B104">
        <v>7.6230000000000002</v>
      </c>
      <c r="C104">
        <f t="shared" si="1"/>
        <v>1.07623</v>
      </c>
    </row>
    <row r="105" spans="1:3" x14ac:dyDescent="0.35">
      <c r="A105" s="40">
        <v>42370</v>
      </c>
      <c r="B105">
        <v>7.7789999999999999</v>
      </c>
      <c r="C105">
        <f t="shared" si="1"/>
        <v>1.07779</v>
      </c>
    </row>
    <row r="106" spans="1:3" x14ac:dyDescent="0.35">
      <c r="A106" s="40">
        <v>42339</v>
      </c>
      <c r="B106">
        <v>7.758</v>
      </c>
      <c r="C106">
        <f t="shared" si="1"/>
        <v>1.07758</v>
      </c>
    </row>
    <row r="107" spans="1:3" x14ac:dyDescent="0.35">
      <c r="A107" s="40">
        <v>42309</v>
      </c>
      <c r="B107">
        <v>7.7859999999999996</v>
      </c>
      <c r="C107">
        <f t="shared" si="1"/>
        <v>1.07786</v>
      </c>
    </row>
    <row r="108" spans="1:3" x14ac:dyDescent="0.35">
      <c r="A108" s="40">
        <v>42278</v>
      </c>
      <c r="B108">
        <v>7.64</v>
      </c>
      <c r="C108">
        <f t="shared" si="1"/>
        <v>1.0764</v>
      </c>
    </row>
    <row r="109" spans="1:3" x14ac:dyDescent="0.35">
      <c r="A109" s="40">
        <v>42248</v>
      </c>
      <c r="B109">
        <v>7.5389999999999997</v>
      </c>
      <c r="C109">
        <f t="shared" si="1"/>
        <v>1.0753900000000001</v>
      </c>
    </row>
    <row r="110" spans="1:3" x14ac:dyDescent="0.35">
      <c r="A110" s="40">
        <v>42217</v>
      </c>
      <c r="B110">
        <v>7.7839999999999998</v>
      </c>
      <c r="C110">
        <f t="shared" si="1"/>
        <v>1.0778399999999999</v>
      </c>
    </row>
    <row r="111" spans="1:3" x14ac:dyDescent="0.35">
      <c r="A111" s="40">
        <v>42186</v>
      </c>
      <c r="B111">
        <v>7.806</v>
      </c>
      <c r="C111">
        <f t="shared" si="1"/>
        <v>1.07806</v>
      </c>
    </row>
    <row r="112" spans="1:3" x14ac:dyDescent="0.35">
      <c r="A112" s="40">
        <v>42156</v>
      </c>
      <c r="B112">
        <v>7.8609999999999998</v>
      </c>
      <c r="C112">
        <f t="shared" si="1"/>
        <v>1.0786100000000001</v>
      </c>
    </row>
    <row r="113" spans="1:3" x14ac:dyDescent="0.35">
      <c r="A113" s="40">
        <v>42125</v>
      </c>
      <c r="B113">
        <v>7.8150000000000004</v>
      </c>
      <c r="C113">
        <f t="shared" si="1"/>
        <v>1.0781499999999999</v>
      </c>
    </row>
    <row r="114" spans="1:3" x14ac:dyDescent="0.35">
      <c r="A114" s="40">
        <v>42095</v>
      </c>
      <c r="B114">
        <v>7.86</v>
      </c>
      <c r="C114">
        <f t="shared" si="1"/>
        <v>1.0786</v>
      </c>
    </row>
    <row r="115" spans="1:3" x14ac:dyDescent="0.35">
      <c r="A115" s="40">
        <v>42064</v>
      </c>
      <c r="B115">
        <v>7.7380000000000004</v>
      </c>
      <c r="C115">
        <f t="shared" si="1"/>
        <v>1.07738</v>
      </c>
    </row>
    <row r="116" spans="1:3" x14ac:dyDescent="0.35">
      <c r="A116" s="40">
        <v>42036</v>
      </c>
      <c r="B116">
        <v>7.7240000000000002</v>
      </c>
      <c r="C116">
        <f t="shared" si="1"/>
        <v>1.07724</v>
      </c>
    </row>
    <row r="117" spans="1:3" x14ac:dyDescent="0.35">
      <c r="A117" s="40">
        <v>42005</v>
      </c>
      <c r="B117">
        <v>7.6909999999999998</v>
      </c>
      <c r="C117">
        <f t="shared" si="1"/>
        <v>1.07691</v>
      </c>
    </row>
    <row r="118" spans="1:3" x14ac:dyDescent="0.35">
      <c r="A118" s="40">
        <v>41974</v>
      </c>
      <c r="B118">
        <v>7.8550000000000004</v>
      </c>
      <c r="C118">
        <f t="shared" si="1"/>
        <v>1.0785499999999999</v>
      </c>
    </row>
    <row r="119" spans="1:3" x14ac:dyDescent="0.35">
      <c r="A119" s="40">
        <v>41944</v>
      </c>
      <c r="B119">
        <v>8.0869999999999997</v>
      </c>
      <c r="C119">
        <f t="shared" si="1"/>
        <v>1.08087</v>
      </c>
    </row>
    <row r="120" spans="1:3" x14ac:dyDescent="0.35">
      <c r="A120" s="40">
        <v>41913</v>
      </c>
      <c r="B120">
        <v>8.2780000000000005</v>
      </c>
      <c r="C120">
        <f t="shared" si="1"/>
        <v>1.0827800000000001</v>
      </c>
    </row>
    <row r="121" spans="1:3" x14ac:dyDescent="0.35">
      <c r="A121" s="40">
        <v>41883</v>
      </c>
      <c r="B121">
        <v>8.5109999999999992</v>
      </c>
      <c r="C121">
        <f t="shared" si="1"/>
        <v>1.08511</v>
      </c>
    </row>
    <row r="122" spans="1:3" x14ac:dyDescent="0.35">
      <c r="A122" s="40">
        <v>41852</v>
      </c>
      <c r="B122">
        <v>8.5589999999999993</v>
      </c>
      <c r="C122">
        <f t="shared" si="1"/>
        <v>1.0855900000000001</v>
      </c>
    </row>
    <row r="123" spans="1:3" x14ac:dyDescent="0.35">
      <c r="A123" s="40">
        <v>41821</v>
      </c>
      <c r="B123">
        <v>8.718</v>
      </c>
      <c r="C123">
        <f t="shared" si="1"/>
        <v>1.08718</v>
      </c>
    </row>
    <row r="124" spans="1:3" x14ac:dyDescent="0.35">
      <c r="A124" s="40">
        <v>41791</v>
      </c>
      <c r="B124">
        <v>8.7439999999999998</v>
      </c>
      <c r="C124">
        <f t="shared" si="1"/>
        <v>1.08744</v>
      </c>
    </row>
    <row r="125" spans="1:3" x14ac:dyDescent="0.35">
      <c r="A125" s="40">
        <v>41760</v>
      </c>
      <c r="B125">
        <v>8.6449999999999996</v>
      </c>
      <c r="C125">
        <f t="shared" si="1"/>
        <v>1.0864499999999999</v>
      </c>
    </row>
    <row r="126" spans="1:3" x14ac:dyDescent="0.35">
      <c r="A126" s="40">
        <v>41730</v>
      </c>
      <c r="B126">
        <v>8.8279999999999994</v>
      </c>
      <c r="C126">
        <f t="shared" si="1"/>
        <v>1.0882799999999999</v>
      </c>
    </row>
    <row r="127" spans="1:3" x14ac:dyDescent="0.35">
      <c r="A127" s="40">
        <v>41699</v>
      </c>
      <c r="B127">
        <v>8.8040000000000003</v>
      </c>
      <c r="C127">
        <f t="shared" si="1"/>
        <v>1.0880399999999999</v>
      </c>
    </row>
    <row r="128" spans="1:3" x14ac:dyDescent="0.35">
      <c r="A128" s="40">
        <v>41671</v>
      </c>
      <c r="B128">
        <v>8.8620000000000001</v>
      </c>
      <c r="C128">
        <f t="shared" si="1"/>
        <v>1.0886199999999999</v>
      </c>
    </row>
    <row r="129" spans="1:3" x14ac:dyDescent="0.35">
      <c r="A129" s="40">
        <v>41640</v>
      </c>
      <c r="B129">
        <v>8.77</v>
      </c>
      <c r="C129">
        <f t="shared" si="1"/>
        <v>1.0876999999999999</v>
      </c>
    </row>
    <row r="130" spans="1:3" x14ac:dyDescent="0.35">
      <c r="A130" s="40">
        <v>41609</v>
      </c>
      <c r="B130">
        <v>8.82</v>
      </c>
      <c r="C130">
        <f t="shared" ref="C130:C193" si="2">1+(B130/100)</f>
        <v>1.0882000000000001</v>
      </c>
    </row>
    <row r="131" spans="1:3" x14ac:dyDescent="0.35">
      <c r="A131" s="40">
        <v>41579</v>
      </c>
      <c r="B131">
        <v>9.0440000000000005</v>
      </c>
      <c r="C131">
        <f t="shared" si="2"/>
        <v>1.0904400000000001</v>
      </c>
    </row>
    <row r="132" spans="1:3" x14ac:dyDescent="0.35">
      <c r="A132" s="40">
        <v>41548</v>
      </c>
      <c r="B132">
        <v>8.625</v>
      </c>
      <c r="C132">
        <f t="shared" si="2"/>
        <v>1.0862499999999999</v>
      </c>
    </row>
    <row r="133" spans="1:3" x14ac:dyDescent="0.35">
      <c r="A133" s="40">
        <v>41518</v>
      </c>
      <c r="B133">
        <v>8.766</v>
      </c>
      <c r="C133">
        <f t="shared" si="2"/>
        <v>1.0876600000000001</v>
      </c>
    </row>
    <row r="134" spans="1:3" x14ac:dyDescent="0.35">
      <c r="A134" s="40">
        <v>41487</v>
      </c>
      <c r="B134">
        <v>8.5960000000000001</v>
      </c>
      <c r="C134">
        <f t="shared" si="2"/>
        <v>1.08596</v>
      </c>
    </row>
    <row r="135" spans="1:3" x14ac:dyDescent="0.35">
      <c r="A135" s="40">
        <v>41456</v>
      </c>
      <c r="B135">
        <v>8.1720000000000006</v>
      </c>
      <c r="C135">
        <f t="shared" si="2"/>
        <v>1.08172</v>
      </c>
    </row>
    <row r="136" spans="1:3" x14ac:dyDescent="0.35">
      <c r="A136" s="40">
        <v>41426</v>
      </c>
      <c r="B136">
        <v>7.4390000000000001</v>
      </c>
      <c r="C136">
        <f t="shared" si="2"/>
        <v>1.07439</v>
      </c>
    </row>
    <row r="137" spans="1:3" x14ac:dyDescent="0.35">
      <c r="A137" s="40">
        <v>41395</v>
      </c>
      <c r="B137">
        <v>7.4429999999999996</v>
      </c>
      <c r="C137">
        <f t="shared" si="2"/>
        <v>1.07443</v>
      </c>
    </row>
    <row r="138" spans="1:3" x14ac:dyDescent="0.35">
      <c r="A138" s="40">
        <v>41365</v>
      </c>
      <c r="B138">
        <v>7.7309999999999999</v>
      </c>
      <c r="C138">
        <f t="shared" si="2"/>
        <v>1.07731</v>
      </c>
    </row>
    <row r="139" spans="1:3" x14ac:dyDescent="0.35">
      <c r="A139" s="40">
        <v>41334</v>
      </c>
      <c r="B139">
        <v>7.9509999999999996</v>
      </c>
      <c r="C139">
        <f t="shared" si="2"/>
        <v>1.07951</v>
      </c>
    </row>
    <row r="140" spans="1:3" x14ac:dyDescent="0.35">
      <c r="A140" s="40">
        <v>41306</v>
      </c>
      <c r="B140">
        <v>7.8719999999999999</v>
      </c>
      <c r="C140">
        <f t="shared" si="2"/>
        <v>1.0787199999999999</v>
      </c>
    </row>
    <row r="141" spans="1:3" x14ac:dyDescent="0.35">
      <c r="A141" s="40">
        <v>41275</v>
      </c>
      <c r="B141">
        <v>7.9119999999999999</v>
      </c>
      <c r="C141">
        <f t="shared" si="2"/>
        <v>1.0791200000000001</v>
      </c>
    </row>
    <row r="142" spans="1:3" x14ac:dyDescent="0.35">
      <c r="A142" s="40">
        <v>41244</v>
      </c>
      <c r="B142">
        <v>8.0489999999999995</v>
      </c>
      <c r="C142">
        <f t="shared" si="2"/>
        <v>1.08049</v>
      </c>
    </row>
    <row r="143" spans="1:3" x14ac:dyDescent="0.35">
      <c r="A143" s="40">
        <v>41214</v>
      </c>
      <c r="B143">
        <v>8.1750000000000007</v>
      </c>
      <c r="C143">
        <f t="shared" si="2"/>
        <v>1.08175</v>
      </c>
    </row>
    <row r="144" spans="1:3" x14ac:dyDescent="0.35">
      <c r="A144" s="40">
        <v>41183</v>
      </c>
      <c r="B144">
        <v>8.2149999999999999</v>
      </c>
      <c r="C144">
        <f t="shared" si="2"/>
        <v>1.0821499999999999</v>
      </c>
    </row>
    <row r="145" spans="1:3" x14ac:dyDescent="0.35">
      <c r="A145" s="40">
        <v>41153</v>
      </c>
      <c r="B145">
        <v>8.1489999999999991</v>
      </c>
      <c r="C145">
        <f t="shared" si="2"/>
        <v>1.0814900000000001</v>
      </c>
    </row>
    <row r="146" spans="1:3" x14ac:dyDescent="0.35">
      <c r="A146" s="40">
        <v>41122</v>
      </c>
      <c r="B146">
        <v>8.2409999999999997</v>
      </c>
      <c r="C146">
        <f t="shared" si="2"/>
        <v>1.0824100000000001</v>
      </c>
    </row>
    <row r="147" spans="1:3" x14ac:dyDescent="0.35">
      <c r="A147" s="40">
        <v>41091</v>
      </c>
      <c r="B147">
        <v>8.2449999999999992</v>
      </c>
      <c r="C147">
        <f t="shared" si="2"/>
        <v>1.0824499999999999</v>
      </c>
    </row>
    <row r="148" spans="1:3" x14ac:dyDescent="0.35">
      <c r="A148" s="40">
        <v>41061</v>
      </c>
      <c r="B148">
        <v>8.3800000000000008</v>
      </c>
      <c r="C148">
        <f t="shared" si="2"/>
        <v>1.0838000000000001</v>
      </c>
    </row>
    <row r="149" spans="1:3" x14ac:dyDescent="0.35">
      <c r="A149" s="40">
        <v>41030</v>
      </c>
      <c r="B149">
        <v>8.3770000000000007</v>
      </c>
      <c r="C149">
        <f t="shared" si="2"/>
        <v>1.0837699999999999</v>
      </c>
    </row>
    <row r="150" spans="1:3" x14ac:dyDescent="0.35">
      <c r="A150" s="40">
        <v>41000</v>
      </c>
      <c r="B150">
        <v>8.6709999999999994</v>
      </c>
      <c r="C150">
        <f t="shared" si="2"/>
        <v>1.0867100000000001</v>
      </c>
    </row>
    <row r="151" spans="1:3" x14ac:dyDescent="0.35">
      <c r="A151" s="40">
        <v>40969</v>
      </c>
      <c r="B151">
        <v>8.5719999999999992</v>
      </c>
      <c r="C151">
        <f t="shared" si="2"/>
        <v>1.08572</v>
      </c>
    </row>
    <row r="152" spans="1:3" x14ac:dyDescent="0.35">
      <c r="A152" s="40">
        <v>40940</v>
      </c>
      <c r="B152">
        <v>8.1989999999999998</v>
      </c>
      <c r="C152">
        <f t="shared" si="2"/>
        <v>1.08199</v>
      </c>
    </row>
    <row r="153" spans="1:3" x14ac:dyDescent="0.35">
      <c r="A153" s="40">
        <v>40909</v>
      </c>
      <c r="B153">
        <v>8.2669999999999995</v>
      </c>
      <c r="C153">
        <f t="shared" si="2"/>
        <v>1.08267</v>
      </c>
    </row>
    <row r="154" spans="1:3" x14ac:dyDescent="0.35">
      <c r="A154" s="40">
        <v>40878</v>
      </c>
      <c r="B154">
        <v>8.56</v>
      </c>
      <c r="C154">
        <f t="shared" si="2"/>
        <v>1.0855999999999999</v>
      </c>
    </row>
    <row r="155" spans="1:3" x14ac:dyDescent="0.35">
      <c r="A155" s="40">
        <v>40848</v>
      </c>
      <c r="B155">
        <v>8.7379999999999995</v>
      </c>
      <c r="C155">
        <f t="shared" si="2"/>
        <v>1.08738</v>
      </c>
    </row>
    <row r="156" spans="1:3" x14ac:dyDescent="0.35">
      <c r="A156" s="40">
        <v>40817</v>
      </c>
      <c r="B156">
        <v>8.8789999999999996</v>
      </c>
      <c r="C156">
        <f t="shared" si="2"/>
        <v>1.0887899999999999</v>
      </c>
    </row>
    <row r="157" spans="1:3" x14ac:dyDescent="0.35">
      <c r="A157" s="40">
        <v>40787</v>
      </c>
      <c r="B157">
        <v>8.4420000000000002</v>
      </c>
      <c r="C157">
        <f t="shared" si="2"/>
        <v>1.0844199999999999</v>
      </c>
    </row>
    <row r="158" spans="1:3" x14ac:dyDescent="0.35">
      <c r="A158" s="40">
        <v>40756</v>
      </c>
      <c r="B158">
        <v>8.3190000000000008</v>
      </c>
      <c r="C158">
        <f t="shared" si="2"/>
        <v>1.0831900000000001</v>
      </c>
    </row>
    <row r="159" spans="1:3" x14ac:dyDescent="0.35">
      <c r="A159" s="40">
        <v>40725</v>
      </c>
      <c r="B159">
        <v>8.4540000000000006</v>
      </c>
      <c r="C159">
        <f t="shared" si="2"/>
        <v>1.0845400000000001</v>
      </c>
    </row>
    <row r="160" spans="1:3" x14ac:dyDescent="0.35">
      <c r="A160" s="40">
        <v>40695</v>
      </c>
      <c r="B160">
        <v>8.3260000000000005</v>
      </c>
      <c r="C160">
        <f t="shared" si="2"/>
        <v>1.0832600000000001</v>
      </c>
    </row>
    <row r="161" spans="1:3" x14ac:dyDescent="0.35">
      <c r="A161" s="40">
        <v>40664</v>
      </c>
      <c r="B161">
        <v>8.4109999999999996</v>
      </c>
      <c r="C161">
        <f t="shared" si="2"/>
        <v>1.0841099999999999</v>
      </c>
    </row>
    <row r="162" spans="1:3" x14ac:dyDescent="0.35">
      <c r="A162" s="40">
        <v>40634</v>
      </c>
      <c r="B162">
        <v>8.1349999999999998</v>
      </c>
      <c r="C162">
        <f t="shared" si="2"/>
        <v>1.08135</v>
      </c>
    </row>
    <row r="163" spans="1:3" x14ac:dyDescent="0.35">
      <c r="A163" s="40">
        <v>40603</v>
      </c>
      <c r="B163">
        <v>7.9850000000000003</v>
      </c>
      <c r="C163">
        <f t="shared" si="2"/>
        <v>1.07985</v>
      </c>
    </row>
    <row r="164" spans="1:3" x14ac:dyDescent="0.35">
      <c r="A164" s="40">
        <v>40575</v>
      </c>
      <c r="B164">
        <v>7.992</v>
      </c>
      <c r="C164">
        <f t="shared" si="2"/>
        <v>1.07992</v>
      </c>
    </row>
    <row r="165" spans="1:3" x14ac:dyDescent="0.35">
      <c r="A165" s="40">
        <v>40544</v>
      </c>
      <c r="B165">
        <v>8.1479999999999997</v>
      </c>
      <c r="C165">
        <f t="shared" si="2"/>
        <v>1.08148</v>
      </c>
    </row>
    <row r="166" spans="1:3" x14ac:dyDescent="0.35">
      <c r="A166" s="40">
        <v>40513</v>
      </c>
      <c r="B166">
        <v>7.9130000000000003</v>
      </c>
      <c r="C166">
        <f t="shared" si="2"/>
        <v>1.0791299999999999</v>
      </c>
    </row>
    <row r="167" spans="1:3" x14ac:dyDescent="0.35">
      <c r="A167" s="40">
        <v>40483</v>
      </c>
      <c r="B167">
        <v>8.0660000000000007</v>
      </c>
      <c r="C167">
        <f t="shared" si="2"/>
        <v>1.08066</v>
      </c>
    </row>
    <row r="168" spans="1:3" x14ac:dyDescent="0.35">
      <c r="A168" s="40">
        <v>40452</v>
      </c>
      <c r="B168">
        <v>8.1210000000000004</v>
      </c>
      <c r="C168">
        <f t="shared" si="2"/>
        <v>1.08121</v>
      </c>
    </row>
    <row r="169" spans="1:3" x14ac:dyDescent="0.35">
      <c r="A169" s="40">
        <v>40422</v>
      </c>
      <c r="B169">
        <v>7.8520000000000003</v>
      </c>
      <c r="C169">
        <f t="shared" si="2"/>
        <v>1.0785199999999999</v>
      </c>
    </row>
    <row r="170" spans="1:3" x14ac:dyDescent="0.35">
      <c r="A170" s="40">
        <v>40391</v>
      </c>
      <c r="B170">
        <v>7.9359999999999999</v>
      </c>
      <c r="C170">
        <f t="shared" si="2"/>
        <v>1.0793600000000001</v>
      </c>
    </row>
    <row r="171" spans="1:3" x14ac:dyDescent="0.35">
      <c r="A171" s="40">
        <v>40360</v>
      </c>
      <c r="B171">
        <v>7.8029999999999999</v>
      </c>
      <c r="C171">
        <f t="shared" si="2"/>
        <v>1.07803</v>
      </c>
    </row>
    <row r="172" spans="1:3" x14ac:dyDescent="0.35">
      <c r="A172" s="40">
        <v>40330</v>
      </c>
      <c r="B172">
        <v>7.5609999999999999</v>
      </c>
      <c r="C172">
        <f t="shared" si="2"/>
        <v>1.07561</v>
      </c>
    </row>
    <row r="173" spans="1:3" x14ac:dyDescent="0.35">
      <c r="A173" s="40">
        <v>40299</v>
      </c>
      <c r="B173">
        <v>7.5640000000000001</v>
      </c>
      <c r="C173">
        <f t="shared" si="2"/>
        <v>1.0756399999999999</v>
      </c>
    </row>
    <row r="174" spans="1:3" x14ac:dyDescent="0.35">
      <c r="A174" s="40">
        <v>40269</v>
      </c>
      <c r="B174">
        <v>8.0609999999999999</v>
      </c>
      <c r="C174">
        <f t="shared" si="2"/>
        <v>1.0806100000000001</v>
      </c>
    </row>
    <row r="175" spans="1:3" x14ac:dyDescent="0.35">
      <c r="A175" s="40">
        <v>40238</v>
      </c>
      <c r="B175">
        <v>7.85</v>
      </c>
      <c r="C175">
        <f t="shared" si="2"/>
        <v>1.0785</v>
      </c>
    </row>
    <row r="176" spans="1:3" x14ac:dyDescent="0.35">
      <c r="A176" s="40">
        <v>40210</v>
      </c>
      <c r="B176">
        <v>7.8639999999999999</v>
      </c>
      <c r="C176">
        <f t="shared" si="2"/>
        <v>1.07864</v>
      </c>
    </row>
    <row r="177" spans="1:3" x14ac:dyDescent="0.35">
      <c r="A177" s="40">
        <v>40179</v>
      </c>
      <c r="B177">
        <v>7.5910000000000002</v>
      </c>
      <c r="C177">
        <f t="shared" si="2"/>
        <v>1.0759099999999999</v>
      </c>
    </row>
    <row r="178" spans="1:3" x14ac:dyDescent="0.35">
      <c r="A178" s="40">
        <v>40148</v>
      </c>
      <c r="B178">
        <v>7.6790000000000003</v>
      </c>
      <c r="C178">
        <f t="shared" si="2"/>
        <v>1.0767899999999999</v>
      </c>
    </row>
    <row r="179" spans="1:3" x14ac:dyDescent="0.35">
      <c r="A179" s="40">
        <v>40118</v>
      </c>
      <c r="B179">
        <v>7.2569999999999997</v>
      </c>
      <c r="C179">
        <f t="shared" si="2"/>
        <v>1.07257</v>
      </c>
    </row>
    <row r="180" spans="1:3" x14ac:dyDescent="0.35">
      <c r="A180" s="40">
        <v>40087</v>
      </c>
      <c r="B180">
        <v>7.306</v>
      </c>
      <c r="C180">
        <f t="shared" si="2"/>
        <v>1.0730599999999999</v>
      </c>
    </row>
    <row r="181" spans="1:3" x14ac:dyDescent="0.35">
      <c r="A181" s="40">
        <v>40057</v>
      </c>
      <c r="B181">
        <v>7.2149999999999999</v>
      </c>
      <c r="C181">
        <f t="shared" si="2"/>
        <v>1.0721499999999999</v>
      </c>
    </row>
    <row r="182" spans="1:3" x14ac:dyDescent="0.35">
      <c r="A182" s="40">
        <v>40026</v>
      </c>
      <c r="B182">
        <v>7.4340000000000002</v>
      </c>
      <c r="C182">
        <f t="shared" si="2"/>
        <v>1.0743400000000001</v>
      </c>
    </row>
    <row r="183" spans="1:3" x14ac:dyDescent="0.35">
      <c r="A183" s="40">
        <v>39995</v>
      </c>
      <c r="B183">
        <v>6.9980000000000002</v>
      </c>
      <c r="C183">
        <f t="shared" si="2"/>
        <v>1.0699799999999999</v>
      </c>
    </row>
    <row r="184" spans="1:3" x14ac:dyDescent="0.35">
      <c r="A184" s="40">
        <v>39965</v>
      </c>
      <c r="B184">
        <v>7.0129999999999999</v>
      </c>
      <c r="C184">
        <f t="shared" si="2"/>
        <v>1.07013</v>
      </c>
    </row>
    <row r="185" spans="1:3" x14ac:dyDescent="0.35">
      <c r="A185" s="40">
        <v>39934</v>
      </c>
      <c r="B185">
        <v>6.71</v>
      </c>
      <c r="C185">
        <f t="shared" si="2"/>
        <v>1.0670999999999999</v>
      </c>
    </row>
    <row r="186" spans="1:3" x14ac:dyDescent="0.35">
      <c r="A186" s="40">
        <v>39904</v>
      </c>
      <c r="B186">
        <v>6.242</v>
      </c>
      <c r="C186">
        <f t="shared" si="2"/>
        <v>1.0624199999999999</v>
      </c>
    </row>
    <row r="187" spans="1:3" x14ac:dyDescent="0.35">
      <c r="A187" s="40">
        <v>39873</v>
      </c>
      <c r="B187">
        <v>7.0140000000000002</v>
      </c>
      <c r="C187">
        <f t="shared" si="2"/>
        <v>1.0701400000000001</v>
      </c>
    </row>
    <row r="188" spans="1:3" x14ac:dyDescent="0.35">
      <c r="A188" s="40">
        <v>39845</v>
      </c>
      <c r="B188">
        <v>6.3280000000000003</v>
      </c>
      <c r="C188">
        <f t="shared" si="2"/>
        <v>1.06328</v>
      </c>
    </row>
    <row r="189" spans="1:3" x14ac:dyDescent="0.35">
      <c r="A189" s="40">
        <v>39814</v>
      </c>
      <c r="B189">
        <v>6.1870000000000003</v>
      </c>
      <c r="C189">
        <f t="shared" si="2"/>
        <v>1.0618700000000001</v>
      </c>
    </row>
    <row r="190" spans="1:3" x14ac:dyDescent="0.35">
      <c r="A190" s="40">
        <v>39783</v>
      </c>
      <c r="B190">
        <v>5.26</v>
      </c>
      <c r="C190">
        <f t="shared" si="2"/>
        <v>1.0526</v>
      </c>
    </row>
    <row r="191" spans="1:3" x14ac:dyDescent="0.35">
      <c r="A191" s="40">
        <v>39753</v>
      </c>
      <c r="B191">
        <v>7.08</v>
      </c>
      <c r="C191">
        <f t="shared" si="2"/>
        <v>1.0708</v>
      </c>
    </row>
    <row r="192" spans="1:3" x14ac:dyDescent="0.35">
      <c r="A192" s="40">
        <v>39722</v>
      </c>
      <c r="B192">
        <v>7.4779999999999998</v>
      </c>
      <c r="C192">
        <f t="shared" si="2"/>
        <v>1.0747800000000001</v>
      </c>
    </row>
    <row r="193" spans="1:3" x14ac:dyDescent="0.35">
      <c r="A193" s="40">
        <v>39692</v>
      </c>
      <c r="B193">
        <v>8.6170000000000009</v>
      </c>
      <c r="C193">
        <f t="shared" si="2"/>
        <v>1.0861700000000001</v>
      </c>
    </row>
    <row r="194" spans="1:3" x14ac:dyDescent="0.35">
      <c r="A194" s="40">
        <v>39661</v>
      </c>
      <c r="B194">
        <v>8.6999999999999993</v>
      </c>
      <c r="C194">
        <f t="shared" ref="C194:C257" si="3">1+(B194/100)</f>
        <v>1.087</v>
      </c>
    </row>
    <row r="195" spans="1:3" x14ac:dyDescent="0.35">
      <c r="A195" s="40">
        <v>39630</v>
      </c>
      <c r="B195">
        <v>9.3160000000000007</v>
      </c>
      <c r="C195">
        <f t="shared" si="3"/>
        <v>1.0931599999999999</v>
      </c>
    </row>
    <row r="196" spans="1:3" x14ac:dyDescent="0.35">
      <c r="A196" s="40">
        <v>39600</v>
      </c>
      <c r="B196">
        <v>8.7129999999999992</v>
      </c>
      <c r="C196">
        <f t="shared" si="3"/>
        <v>1.0871299999999999</v>
      </c>
    </row>
    <row r="197" spans="1:3" x14ac:dyDescent="0.35">
      <c r="A197" s="40">
        <v>39569</v>
      </c>
      <c r="B197">
        <v>8.1010000000000009</v>
      </c>
      <c r="C197">
        <f t="shared" si="3"/>
        <v>1.08101</v>
      </c>
    </row>
    <row r="198" spans="1:3" x14ac:dyDescent="0.35">
      <c r="A198" s="40">
        <v>39539</v>
      </c>
      <c r="B198">
        <v>7.9560000000000004</v>
      </c>
      <c r="C198">
        <f t="shared" si="3"/>
        <v>1.0795600000000001</v>
      </c>
    </row>
    <row r="199" spans="1:3" x14ac:dyDescent="0.35">
      <c r="A199" s="40">
        <v>39508</v>
      </c>
      <c r="B199">
        <v>7.9379999999999997</v>
      </c>
      <c r="C199">
        <f t="shared" si="3"/>
        <v>1.07938</v>
      </c>
    </row>
    <row r="200" spans="1:3" x14ac:dyDescent="0.35">
      <c r="A200" s="40">
        <v>39479</v>
      </c>
      <c r="B200">
        <v>7.5679999999999996</v>
      </c>
      <c r="C200">
        <f t="shared" si="3"/>
        <v>1.07568</v>
      </c>
    </row>
    <row r="201" spans="1:3" x14ac:dyDescent="0.35">
      <c r="A201" s="40">
        <v>39448</v>
      </c>
      <c r="B201">
        <v>7.5289999999999999</v>
      </c>
      <c r="C201">
        <f t="shared" si="3"/>
        <v>1.0752900000000001</v>
      </c>
    </row>
    <row r="202" spans="1:3" x14ac:dyDescent="0.35">
      <c r="A202" s="40">
        <v>39417</v>
      </c>
      <c r="B202">
        <v>7.7910000000000004</v>
      </c>
      <c r="C202">
        <f t="shared" si="3"/>
        <v>1.0779099999999999</v>
      </c>
    </row>
    <row r="203" spans="1:3" x14ac:dyDescent="0.35">
      <c r="A203" s="40">
        <v>39387</v>
      </c>
      <c r="B203">
        <v>7.9050000000000002</v>
      </c>
      <c r="C203">
        <f t="shared" si="3"/>
        <v>1.0790500000000001</v>
      </c>
    </row>
    <row r="204" spans="1:3" x14ac:dyDescent="0.35">
      <c r="A204" s="40">
        <v>39356</v>
      </c>
      <c r="B204">
        <v>7.8390000000000004</v>
      </c>
      <c r="C204">
        <f t="shared" si="3"/>
        <v>1.07839</v>
      </c>
    </row>
    <row r="205" spans="1:3" x14ac:dyDescent="0.35">
      <c r="A205" s="40">
        <v>39326</v>
      </c>
      <c r="B205">
        <v>7.9249999999999998</v>
      </c>
      <c r="C205">
        <f t="shared" si="3"/>
        <v>1.07925</v>
      </c>
    </row>
    <row r="206" spans="1:3" x14ac:dyDescent="0.35">
      <c r="A206" s="40">
        <v>39295</v>
      </c>
      <c r="B206">
        <v>7.93</v>
      </c>
      <c r="C206">
        <f t="shared" si="3"/>
        <v>1.0792999999999999</v>
      </c>
    </row>
    <row r="207" spans="1:3" x14ac:dyDescent="0.35">
      <c r="A207" s="40">
        <v>39264</v>
      </c>
      <c r="B207">
        <v>7.8449999999999998</v>
      </c>
      <c r="C207">
        <f t="shared" si="3"/>
        <v>1.0784499999999999</v>
      </c>
    </row>
    <row r="208" spans="1:3" x14ac:dyDescent="0.35">
      <c r="A208" s="40">
        <v>39234</v>
      </c>
      <c r="B208">
        <v>8.1869999999999994</v>
      </c>
      <c r="C208">
        <f t="shared" si="3"/>
        <v>1.0818699999999999</v>
      </c>
    </row>
    <row r="209" spans="1:3" x14ac:dyDescent="0.35">
      <c r="A209" s="40">
        <v>39203</v>
      </c>
      <c r="B209">
        <v>8.08</v>
      </c>
      <c r="C209">
        <f t="shared" si="3"/>
        <v>1.0808</v>
      </c>
    </row>
    <row r="210" spans="1:3" x14ac:dyDescent="0.35">
      <c r="A210" s="40">
        <v>39173</v>
      </c>
      <c r="B210">
        <v>8.173</v>
      </c>
      <c r="C210">
        <f t="shared" si="3"/>
        <v>1.0817300000000001</v>
      </c>
    </row>
    <row r="211" spans="1:3" x14ac:dyDescent="0.35">
      <c r="A211" s="40">
        <v>39142</v>
      </c>
      <c r="B211">
        <v>8.0220000000000002</v>
      </c>
      <c r="C211">
        <f t="shared" si="3"/>
        <v>1.08022</v>
      </c>
    </row>
    <row r="212" spans="1:3" x14ac:dyDescent="0.35">
      <c r="A212" s="40">
        <v>39114</v>
      </c>
      <c r="B212">
        <v>8</v>
      </c>
      <c r="C212">
        <f t="shared" si="3"/>
        <v>1.08</v>
      </c>
    </row>
    <row r="213" spans="1:3" x14ac:dyDescent="0.35">
      <c r="A213" s="40">
        <v>39083</v>
      </c>
      <c r="B213">
        <v>7.7380000000000004</v>
      </c>
      <c r="C213">
        <f t="shared" si="3"/>
        <v>1.07738</v>
      </c>
    </row>
    <row r="214" spans="1:3" x14ac:dyDescent="0.35">
      <c r="A214" s="40">
        <v>39052</v>
      </c>
      <c r="B214">
        <v>7.6189999999999998</v>
      </c>
      <c r="C214">
        <f t="shared" si="3"/>
        <v>1.07619</v>
      </c>
    </row>
    <row r="215" spans="1:3" x14ac:dyDescent="0.35">
      <c r="A215" s="40">
        <v>39022</v>
      </c>
      <c r="B215">
        <v>7.4240000000000004</v>
      </c>
      <c r="C215">
        <f t="shared" si="3"/>
        <v>1.0742400000000001</v>
      </c>
    </row>
    <row r="216" spans="1:3" x14ac:dyDescent="0.35">
      <c r="A216" s="40">
        <v>38991</v>
      </c>
      <c r="B216">
        <v>7.625</v>
      </c>
      <c r="C216">
        <f t="shared" si="3"/>
        <v>1.0762499999999999</v>
      </c>
    </row>
    <row r="217" spans="1:3" x14ac:dyDescent="0.35">
      <c r="A217" s="40">
        <v>38961</v>
      </c>
      <c r="B217">
        <v>7.6420000000000003</v>
      </c>
      <c r="C217">
        <f t="shared" si="3"/>
        <v>1.0764199999999999</v>
      </c>
    </row>
    <row r="218" spans="1:3" x14ac:dyDescent="0.35">
      <c r="A218" s="40">
        <v>38930</v>
      </c>
      <c r="B218">
        <v>7.891</v>
      </c>
      <c r="C218">
        <f t="shared" si="3"/>
        <v>1.07891</v>
      </c>
    </row>
    <row r="219" spans="1:3" x14ac:dyDescent="0.35">
      <c r="A219" s="40">
        <v>38899</v>
      </c>
      <c r="B219">
        <v>8.2379999999999995</v>
      </c>
      <c r="C219">
        <f t="shared" si="3"/>
        <v>1.0823799999999999</v>
      </c>
    </row>
    <row r="220" spans="1:3" x14ac:dyDescent="0.35">
      <c r="A220" s="40">
        <v>38869</v>
      </c>
      <c r="B220">
        <v>8.1509999999999998</v>
      </c>
      <c r="C220">
        <f t="shared" si="3"/>
        <v>1.08151</v>
      </c>
    </row>
    <row r="221" spans="1:3" x14ac:dyDescent="0.35">
      <c r="A221" s="40">
        <v>38838</v>
      </c>
      <c r="B221">
        <v>7.6589999999999998</v>
      </c>
      <c r="C221">
        <f t="shared" si="3"/>
        <v>1.0765899999999999</v>
      </c>
    </row>
    <row r="222" spans="1:3" x14ac:dyDescent="0.35">
      <c r="A222" s="40">
        <v>38808</v>
      </c>
      <c r="B222">
        <v>7.39</v>
      </c>
      <c r="C222">
        <f t="shared" si="3"/>
        <v>1.0739000000000001</v>
      </c>
    </row>
    <row r="223" spans="1:3" x14ac:dyDescent="0.35">
      <c r="A223" s="40">
        <v>38777</v>
      </c>
      <c r="B223">
        <v>7.55</v>
      </c>
      <c r="C223">
        <f t="shared" si="3"/>
        <v>1.0754999999999999</v>
      </c>
    </row>
    <row r="224" spans="1:3" x14ac:dyDescent="0.35">
      <c r="A224" s="40">
        <v>38749</v>
      </c>
      <c r="B224">
        <v>7.3929999999999998</v>
      </c>
      <c r="C224">
        <f t="shared" si="3"/>
        <v>1.0739300000000001</v>
      </c>
    </row>
    <row r="225" spans="1:3" x14ac:dyDescent="0.35">
      <c r="A225" s="40">
        <v>38718</v>
      </c>
      <c r="B225">
        <v>7.3719999999999999</v>
      </c>
      <c r="C225">
        <f t="shared" si="3"/>
        <v>1.07372</v>
      </c>
    </row>
    <row r="226" spans="1:3" x14ac:dyDescent="0.35">
      <c r="A226" s="40">
        <v>38687</v>
      </c>
      <c r="B226">
        <v>7.11</v>
      </c>
      <c r="C226">
        <f t="shared" si="3"/>
        <v>1.0710999999999999</v>
      </c>
    </row>
    <row r="227" spans="1:3" x14ac:dyDescent="0.35">
      <c r="A227" s="40">
        <v>38657</v>
      </c>
      <c r="B227">
        <v>7.0830000000000002</v>
      </c>
      <c r="C227">
        <f t="shared" si="3"/>
        <v>1.0708299999999999</v>
      </c>
    </row>
    <row r="228" spans="1:3" x14ac:dyDescent="0.35">
      <c r="A228" s="40">
        <v>38626</v>
      </c>
      <c r="B228">
        <v>7.0990000000000002</v>
      </c>
      <c r="C228">
        <f t="shared" si="3"/>
        <v>1.0709900000000001</v>
      </c>
    </row>
    <row r="229" spans="1:3" x14ac:dyDescent="0.35">
      <c r="A229" s="40">
        <v>38596</v>
      </c>
      <c r="B229">
        <v>7.101</v>
      </c>
      <c r="C229">
        <f t="shared" si="3"/>
        <v>1.07101</v>
      </c>
    </row>
    <row r="230" spans="1:3" x14ac:dyDescent="0.35">
      <c r="A230" s="40">
        <v>38565</v>
      </c>
      <c r="B230">
        <v>7.0940000000000003</v>
      </c>
      <c r="C230">
        <f t="shared" si="3"/>
        <v>1.07094</v>
      </c>
    </row>
    <row r="231" spans="1:3" x14ac:dyDescent="0.35">
      <c r="A231" s="40">
        <v>38534</v>
      </c>
      <c r="B231">
        <v>6.9939999999999998</v>
      </c>
      <c r="C231">
        <f t="shared" si="3"/>
        <v>1.0699399999999999</v>
      </c>
    </row>
    <row r="232" spans="1:3" x14ac:dyDescent="0.35">
      <c r="A232" s="40">
        <v>38504</v>
      </c>
      <c r="B232">
        <v>6.907</v>
      </c>
      <c r="C232">
        <f t="shared" si="3"/>
        <v>1.06907</v>
      </c>
    </row>
    <row r="233" spans="1:3" x14ac:dyDescent="0.35">
      <c r="A233" s="40">
        <v>38473</v>
      </c>
      <c r="B233">
        <v>6.9790000000000001</v>
      </c>
      <c r="C233">
        <f t="shared" si="3"/>
        <v>1.06979</v>
      </c>
    </row>
    <row r="234" spans="1:3" x14ac:dyDescent="0.35">
      <c r="A234" s="40">
        <v>38443</v>
      </c>
      <c r="B234">
        <v>7.3570000000000002</v>
      </c>
      <c r="C234">
        <f t="shared" si="3"/>
        <v>1.0735699999999999</v>
      </c>
    </row>
    <row r="235" spans="1:3" x14ac:dyDescent="0.35">
      <c r="A235" s="40">
        <v>38412</v>
      </c>
      <c r="B235">
        <v>6.6760000000000002</v>
      </c>
      <c r="C235">
        <f t="shared" si="3"/>
        <v>1.0667599999999999</v>
      </c>
    </row>
    <row r="236" spans="1:3" x14ac:dyDescent="0.35">
      <c r="A236" s="40">
        <v>38384</v>
      </c>
      <c r="B236">
        <v>6.5490000000000004</v>
      </c>
      <c r="C236">
        <f t="shared" si="3"/>
        <v>1.06549</v>
      </c>
    </row>
    <row r="237" spans="1:3" x14ac:dyDescent="0.35">
      <c r="A237" s="40">
        <v>38353</v>
      </c>
      <c r="B237">
        <v>6.7030000000000003</v>
      </c>
      <c r="C237">
        <f t="shared" si="3"/>
        <v>1.0670299999999999</v>
      </c>
    </row>
    <row r="238" spans="1:3" x14ac:dyDescent="0.35">
      <c r="A238" s="40">
        <v>38322</v>
      </c>
      <c r="B238">
        <v>6.7060000000000004</v>
      </c>
      <c r="C238">
        <f t="shared" si="3"/>
        <v>1.0670600000000001</v>
      </c>
    </row>
    <row r="239" spans="1:3" x14ac:dyDescent="0.35">
      <c r="A239" s="40">
        <v>38292</v>
      </c>
      <c r="B239">
        <v>7.1970000000000001</v>
      </c>
      <c r="C239">
        <f t="shared" si="3"/>
        <v>1.0719700000000001</v>
      </c>
    </row>
    <row r="240" spans="1:3" x14ac:dyDescent="0.35">
      <c r="A240" s="40">
        <v>38261</v>
      </c>
      <c r="B240">
        <v>6.9320000000000004</v>
      </c>
      <c r="C240">
        <f t="shared" si="3"/>
        <v>1.06932</v>
      </c>
    </row>
    <row r="241" spans="1:3" x14ac:dyDescent="0.35">
      <c r="A241" s="40">
        <v>38231</v>
      </c>
      <c r="B241">
        <v>6.2439999999999998</v>
      </c>
      <c r="C241">
        <f t="shared" si="3"/>
        <v>1.0624400000000001</v>
      </c>
    </row>
    <row r="242" spans="1:3" x14ac:dyDescent="0.35">
      <c r="A242" s="40">
        <v>38200</v>
      </c>
      <c r="B242">
        <v>6.0890000000000004</v>
      </c>
      <c r="C242">
        <f t="shared" si="3"/>
        <v>1.0608900000000001</v>
      </c>
    </row>
    <row r="243" spans="1:3" x14ac:dyDescent="0.35">
      <c r="A243" s="40">
        <v>38169</v>
      </c>
      <c r="B243">
        <v>6.1369999999999996</v>
      </c>
      <c r="C243">
        <f t="shared" si="3"/>
        <v>1.0613699999999999</v>
      </c>
    </row>
    <row r="244" spans="1:3" x14ac:dyDescent="0.35">
      <c r="A244" s="40">
        <v>38139</v>
      </c>
      <c r="B244">
        <v>5.85</v>
      </c>
      <c r="C244">
        <f t="shared" si="3"/>
        <v>1.0585</v>
      </c>
    </row>
    <row r="245" spans="1:3" x14ac:dyDescent="0.35">
      <c r="A245" s="40">
        <v>38108</v>
      </c>
      <c r="B245">
        <v>5.274</v>
      </c>
      <c r="C245">
        <f t="shared" si="3"/>
        <v>1.05274</v>
      </c>
    </row>
    <row r="246" spans="1:3" x14ac:dyDescent="0.35">
      <c r="A246" s="40">
        <v>38078</v>
      </c>
      <c r="B246">
        <v>5.117</v>
      </c>
      <c r="C246">
        <f t="shared" si="3"/>
        <v>1.0511699999999999</v>
      </c>
    </row>
    <row r="247" spans="1:3" x14ac:dyDescent="0.35">
      <c r="A247" s="40">
        <v>38047</v>
      </c>
      <c r="B247">
        <v>5.1470000000000002</v>
      </c>
      <c r="C247">
        <f t="shared" si="3"/>
        <v>1.0514699999999999</v>
      </c>
    </row>
    <row r="248" spans="1:3" x14ac:dyDescent="0.35">
      <c r="A248" s="40">
        <v>38018</v>
      </c>
      <c r="B248">
        <v>5.2610000000000001</v>
      </c>
      <c r="C248">
        <f t="shared" si="3"/>
        <v>1.05261</v>
      </c>
    </row>
    <row r="249" spans="1:3" x14ac:dyDescent="0.35">
      <c r="A249" s="40">
        <v>37987</v>
      </c>
      <c r="B249">
        <v>5.2229999999999999</v>
      </c>
      <c r="C249">
        <f t="shared" si="3"/>
        <v>1.05223</v>
      </c>
    </row>
    <row r="250" spans="1:3" x14ac:dyDescent="0.35">
      <c r="A250" s="40">
        <v>37956</v>
      </c>
      <c r="B250">
        <v>5.1219999999999999</v>
      </c>
      <c r="C250">
        <f t="shared" si="3"/>
        <v>1.05122</v>
      </c>
    </row>
    <row r="251" spans="1:3" x14ac:dyDescent="0.35">
      <c r="A251" s="40">
        <v>37926</v>
      </c>
      <c r="B251">
        <v>5.1580000000000004</v>
      </c>
      <c r="C251">
        <f t="shared" si="3"/>
        <v>1.05158</v>
      </c>
    </row>
    <row r="252" spans="1:3" x14ac:dyDescent="0.35">
      <c r="A252" s="40">
        <v>37895</v>
      </c>
      <c r="B252">
        <v>5.0999999999999996</v>
      </c>
      <c r="C252">
        <f t="shared" si="3"/>
        <v>1.0509999999999999</v>
      </c>
    </row>
    <row r="253" spans="1:3" x14ac:dyDescent="0.35">
      <c r="A253" s="40">
        <v>37865</v>
      </c>
      <c r="B253">
        <v>5.1740000000000004</v>
      </c>
      <c r="C253">
        <f t="shared" si="3"/>
        <v>1.0517399999999999</v>
      </c>
    </row>
    <row r="254" spans="1:3" x14ac:dyDescent="0.35">
      <c r="A254" s="40">
        <v>37834</v>
      </c>
      <c r="B254">
        <v>5.2640000000000002</v>
      </c>
      <c r="C254">
        <f t="shared" si="3"/>
        <v>1.05264</v>
      </c>
    </row>
    <row r="255" spans="1:3" x14ac:dyDescent="0.35">
      <c r="A255" s="40">
        <v>37803</v>
      </c>
      <c r="B255">
        <v>5.6159999999999997</v>
      </c>
      <c r="C255">
        <f t="shared" si="3"/>
        <v>1.05616</v>
      </c>
    </row>
    <row r="256" spans="1:3" x14ac:dyDescent="0.35">
      <c r="A256" s="40">
        <v>37773</v>
      </c>
      <c r="B256">
        <v>5.7279999999999998</v>
      </c>
      <c r="C256">
        <f t="shared" si="3"/>
        <v>1.05728</v>
      </c>
    </row>
    <row r="257" spans="1:3" x14ac:dyDescent="0.35">
      <c r="A257" s="40">
        <v>37742</v>
      </c>
      <c r="B257">
        <v>5.7969999999999997</v>
      </c>
      <c r="C257">
        <f t="shared" si="3"/>
        <v>1.0579700000000001</v>
      </c>
    </row>
    <row r="258" spans="1:3" x14ac:dyDescent="0.35">
      <c r="A258" s="40">
        <v>37712</v>
      </c>
      <c r="B258">
        <v>5.8819999999999997</v>
      </c>
      <c r="C258">
        <f t="shared" ref="C258:C319" si="4">1+(B258/100)</f>
        <v>1.0588200000000001</v>
      </c>
    </row>
    <row r="259" spans="1:3" x14ac:dyDescent="0.35">
      <c r="A259" s="40">
        <v>37681</v>
      </c>
      <c r="B259">
        <v>6.1269999999999998</v>
      </c>
      <c r="C259">
        <f t="shared" si="4"/>
        <v>1.0612699999999999</v>
      </c>
    </row>
    <row r="260" spans="1:3" x14ac:dyDescent="0.35">
      <c r="A260" s="40">
        <v>37653</v>
      </c>
      <c r="B260">
        <v>5.9660000000000002</v>
      </c>
      <c r="C260">
        <f t="shared" si="4"/>
        <v>1.05966</v>
      </c>
    </row>
    <row r="261" spans="1:3" x14ac:dyDescent="0.35">
      <c r="A261" s="40">
        <v>37622</v>
      </c>
      <c r="B261">
        <v>6.3230000000000004</v>
      </c>
      <c r="C261">
        <f t="shared" si="4"/>
        <v>1.0632299999999999</v>
      </c>
    </row>
    <row r="262" spans="1:3" x14ac:dyDescent="0.35">
      <c r="A262" s="40">
        <v>37591</v>
      </c>
      <c r="B262">
        <v>6.0830000000000002</v>
      </c>
      <c r="C262">
        <f t="shared" si="4"/>
        <v>1.0608299999999999</v>
      </c>
    </row>
    <row r="263" spans="1:3" x14ac:dyDescent="0.35">
      <c r="A263" s="40">
        <v>37561</v>
      </c>
      <c r="B263">
        <v>6.4249999999999998</v>
      </c>
      <c r="C263">
        <f t="shared" si="4"/>
        <v>1.0642499999999999</v>
      </c>
    </row>
    <row r="264" spans="1:3" x14ac:dyDescent="0.35">
      <c r="A264" s="40">
        <v>37530</v>
      </c>
      <c r="B264">
        <v>6.9249999999999998</v>
      </c>
      <c r="C264">
        <f t="shared" si="4"/>
        <v>1.06925</v>
      </c>
    </row>
    <row r="265" spans="1:3" x14ac:dyDescent="0.35">
      <c r="A265" s="40">
        <v>37500</v>
      </c>
      <c r="B265">
        <v>7.1680000000000001</v>
      </c>
      <c r="C265">
        <f t="shared" si="4"/>
        <v>1.07168</v>
      </c>
    </row>
    <row r="266" spans="1:3" x14ac:dyDescent="0.35">
      <c r="A266" s="40">
        <v>37469</v>
      </c>
      <c r="B266">
        <v>7.1609999999999996</v>
      </c>
      <c r="C266">
        <f t="shared" si="4"/>
        <v>1.07161</v>
      </c>
    </row>
    <row r="267" spans="1:3" x14ac:dyDescent="0.35">
      <c r="A267" s="40">
        <v>37438</v>
      </c>
      <c r="B267">
        <v>7.3079999999999998</v>
      </c>
      <c r="C267">
        <f t="shared" si="4"/>
        <v>1.07308</v>
      </c>
    </row>
    <row r="268" spans="1:3" x14ac:dyDescent="0.35">
      <c r="A268" s="40">
        <v>37408</v>
      </c>
      <c r="B268">
        <v>7.4850000000000003</v>
      </c>
      <c r="C268">
        <f t="shared" si="4"/>
        <v>1.0748500000000001</v>
      </c>
    </row>
    <row r="269" spans="1:3" x14ac:dyDescent="0.35">
      <c r="A269" s="40">
        <v>37377</v>
      </c>
      <c r="B269">
        <v>7.7229999999999999</v>
      </c>
      <c r="C269">
        <f t="shared" si="4"/>
        <v>1.0772299999999999</v>
      </c>
    </row>
    <row r="270" spans="1:3" x14ac:dyDescent="0.35">
      <c r="A270" s="40">
        <v>37347</v>
      </c>
      <c r="B270">
        <v>7.41</v>
      </c>
      <c r="C270">
        <f t="shared" si="4"/>
        <v>1.0741000000000001</v>
      </c>
    </row>
    <row r="271" spans="1:3" x14ac:dyDescent="0.35">
      <c r="A271" s="40">
        <v>37316</v>
      </c>
      <c r="B271">
        <v>7.359</v>
      </c>
      <c r="C271">
        <f t="shared" si="4"/>
        <v>1.07359</v>
      </c>
    </row>
    <row r="272" spans="1:3" x14ac:dyDescent="0.35">
      <c r="A272" s="40">
        <v>37288</v>
      </c>
      <c r="B272">
        <v>7.6269999999999998</v>
      </c>
      <c r="C272">
        <f t="shared" si="4"/>
        <v>1.0762700000000001</v>
      </c>
    </row>
    <row r="273" spans="1:3" x14ac:dyDescent="0.35">
      <c r="A273" s="40">
        <v>37257</v>
      </c>
      <c r="B273">
        <v>7.6689999999999996</v>
      </c>
      <c r="C273">
        <f t="shared" si="4"/>
        <v>1.0766899999999999</v>
      </c>
    </row>
    <row r="274" spans="1:3" x14ac:dyDescent="0.35">
      <c r="A274" s="40">
        <v>37226</v>
      </c>
      <c r="B274">
        <v>7.9390000000000001</v>
      </c>
      <c r="C274">
        <f t="shared" si="4"/>
        <v>1.0793900000000001</v>
      </c>
    </row>
    <row r="275" spans="1:3" x14ac:dyDescent="0.35">
      <c r="A275" s="40">
        <v>37196</v>
      </c>
      <c r="B275">
        <v>7.88</v>
      </c>
      <c r="C275">
        <f t="shared" si="4"/>
        <v>1.0788</v>
      </c>
    </row>
    <row r="276" spans="1:3" x14ac:dyDescent="0.35">
      <c r="A276" s="40">
        <v>37165</v>
      </c>
      <c r="B276">
        <v>8.8000000000000007</v>
      </c>
      <c r="C276">
        <f t="shared" si="4"/>
        <v>1.0880000000000001</v>
      </c>
    </row>
    <row r="277" spans="1:3" x14ac:dyDescent="0.35">
      <c r="A277" s="40">
        <v>37135</v>
      </c>
      <c r="B277">
        <v>9.1219999999999999</v>
      </c>
      <c r="C277">
        <f t="shared" si="4"/>
        <v>1.0912200000000001</v>
      </c>
    </row>
    <row r="278" spans="1:3" x14ac:dyDescent="0.35">
      <c r="A278" s="40">
        <v>37104</v>
      </c>
      <c r="B278">
        <v>9.1140000000000008</v>
      </c>
      <c r="C278">
        <f t="shared" si="4"/>
        <v>1.09114</v>
      </c>
    </row>
    <row r="279" spans="1:3" x14ac:dyDescent="0.35">
      <c r="A279" s="40">
        <v>37073</v>
      </c>
      <c r="B279">
        <v>9.3629999999999995</v>
      </c>
      <c r="C279">
        <f t="shared" si="4"/>
        <v>1.0936300000000001</v>
      </c>
    </row>
    <row r="280" spans="1:3" x14ac:dyDescent="0.35">
      <c r="A280" s="40">
        <v>37043</v>
      </c>
      <c r="B280">
        <v>9.5009999999999994</v>
      </c>
      <c r="C280">
        <f t="shared" si="4"/>
        <v>1.09501</v>
      </c>
    </row>
    <row r="281" spans="1:3" x14ac:dyDescent="0.35">
      <c r="A281" s="40">
        <v>37012</v>
      </c>
      <c r="B281">
        <v>9.7620000000000005</v>
      </c>
      <c r="C281">
        <f t="shared" si="4"/>
        <v>1.09762</v>
      </c>
    </row>
    <row r="282" spans="1:3" x14ac:dyDescent="0.35">
      <c r="A282" s="40">
        <v>36982</v>
      </c>
      <c r="B282">
        <v>10.125</v>
      </c>
      <c r="C282">
        <f t="shared" si="4"/>
        <v>1.1012500000000001</v>
      </c>
    </row>
    <row r="283" spans="1:3" x14ac:dyDescent="0.35">
      <c r="A283" s="40">
        <v>36951</v>
      </c>
      <c r="B283">
        <v>10.333</v>
      </c>
      <c r="C283">
        <f t="shared" si="4"/>
        <v>1.1033299999999999</v>
      </c>
    </row>
    <row r="284" spans="1:3" x14ac:dyDescent="0.35">
      <c r="A284" s="40">
        <v>36923</v>
      </c>
      <c r="B284">
        <v>10.077999999999999</v>
      </c>
      <c r="C284">
        <f t="shared" si="4"/>
        <v>1.1007800000000001</v>
      </c>
    </row>
    <row r="285" spans="1:3" x14ac:dyDescent="0.35">
      <c r="A285" s="40">
        <v>36892</v>
      </c>
      <c r="B285">
        <v>10.423999999999999</v>
      </c>
      <c r="C285">
        <f t="shared" si="4"/>
        <v>1.1042399999999999</v>
      </c>
    </row>
    <row r="286" spans="1:3" x14ac:dyDescent="0.35">
      <c r="A286" s="40">
        <v>36861</v>
      </c>
      <c r="B286">
        <v>10.884</v>
      </c>
      <c r="C286">
        <f t="shared" si="4"/>
        <v>1.10884</v>
      </c>
    </row>
    <row r="287" spans="1:3" x14ac:dyDescent="0.35">
      <c r="A287" s="40">
        <v>36831</v>
      </c>
      <c r="B287">
        <v>11.348000000000001</v>
      </c>
      <c r="C287">
        <f t="shared" si="4"/>
        <v>1.11348</v>
      </c>
    </row>
    <row r="288" spans="1:3" x14ac:dyDescent="0.35">
      <c r="A288" s="40">
        <v>36800</v>
      </c>
      <c r="B288">
        <v>11.6</v>
      </c>
      <c r="C288">
        <f t="shared" si="4"/>
        <v>1.1160000000000001</v>
      </c>
    </row>
    <row r="289" spans="1:3" x14ac:dyDescent="0.35">
      <c r="A289" s="40">
        <v>36770</v>
      </c>
      <c r="B289">
        <v>11.54</v>
      </c>
      <c r="C289">
        <f t="shared" si="4"/>
        <v>1.1153999999999999</v>
      </c>
    </row>
    <row r="290" spans="1:3" x14ac:dyDescent="0.35">
      <c r="A290" s="40">
        <v>36739</v>
      </c>
      <c r="B290">
        <v>11.505000000000001</v>
      </c>
      <c r="C290">
        <f t="shared" si="4"/>
        <v>1.1150500000000001</v>
      </c>
    </row>
    <row r="291" spans="1:3" x14ac:dyDescent="0.35">
      <c r="A291" s="40">
        <v>36708</v>
      </c>
      <c r="B291">
        <v>11.353999999999999</v>
      </c>
      <c r="C291">
        <f t="shared" si="4"/>
        <v>1.11354</v>
      </c>
    </row>
    <row r="292" spans="1:3" x14ac:dyDescent="0.35">
      <c r="A292" s="40">
        <v>36678</v>
      </c>
      <c r="B292">
        <v>11.058999999999999</v>
      </c>
      <c r="C292">
        <f t="shared" si="4"/>
        <v>1.11059</v>
      </c>
    </row>
    <row r="293" spans="1:3" x14ac:dyDescent="0.35">
      <c r="A293" s="40">
        <v>36647</v>
      </c>
      <c r="B293">
        <v>10.827</v>
      </c>
      <c r="C293">
        <f t="shared" si="4"/>
        <v>1.1082700000000001</v>
      </c>
    </row>
    <row r="294" spans="1:3" x14ac:dyDescent="0.35">
      <c r="A294" s="40">
        <v>36617</v>
      </c>
      <c r="B294">
        <v>10.364000000000001</v>
      </c>
      <c r="C294">
        <f t="shared" si="4"/>
        <v>1.10364</v>
      </c>
    </row>
    <row r="295" spans="1:3" x14ac:dyDescent="0.35">
      <c r="A295" s="40">
        <v>36586</v>
      </c>
      <c r="B295">
        <v>10.756</v>
      </c>
      <c r="C295">
        <f t="shared" si="4"/>
        <v>1.1075600000000001</v>
      </c>
    </row>
    <row r="296" spans="1:3" x14ac:dyDescent="0.35">
      <c r="A296" s="40">
        <v>36557</v>
      </c>
      <c r="B296">
        <v>10.404999999999999</v>
      </c>
      <c r="C296">
        <f t="shared" si="4"/>
        <v>1.10405</v>
      </c>
    </row>
    <row r="297" spans="1:3" x14ac:dyDescent="0.35">
      <c r="A297" s="40">
        <v>36526</v>
      </c>
      <c r="B297">
        <v>10.897</v>
      </c>
      <c r="C297">
        <f t="shared" si="4"/>
        <v>1.10897</v>
      </c>
    </row>
    <row r="298" spans="1:3" x14ac:dyDescent="0.35">
      <c r="A298" s="40">
        <v>36495</v>
      </c>
      <c r="B298">
        <v>11.196999999999999</v>
      </c>
      <c r="C298">
        <f t="shared" si="4"/>
        <v>1.1119699999999999</v>
      </c>
    </row>
    <row r="299" spans="1:3" x14ac:dyDescent="0.35">
      <c r="A299" s="40">
        <v>36465</v>
      </c>
      <c r="B299">
        <v>11.384</v>
      </c>
      <c r="C299">
        <f t="shared" si="4"/>
        <v>1.1138399999999999</v>
      </c>
    </row>
    <row r="300" spans="1:3" x14ac:dyDescent="0.35">
      <c r="A300" s="40">
        <v>36434</v>
      </c>
      <c r="B300">
        <v>11.521000000000001</v>
      </c>
      <c r="C300">
        <f t="shared" si="4"/>
        <v>1.11521</v>
      </c>
    </row>
    <row r="301" spans="1:3" x14ac:dyDescent="0.35">
      <c r="A301" s="40">
        <v>36404</v>
      </c>
      <c r="B301">
        <v>11.634</v>
      </c>
      <c r="C301">
        <f t="shared" si="4"/>
        <v>1.1163400000000001</v>
      </c>
    </row>
    <row r="302" spans="1:3" x14ac:dyDescent="0.35">
      <c r="A302" s="40">
        <v>36373</v>
      </c>
      <c r="B302">
        <v>11.587999999999999</v>
      </c>
      <c r="C302">
        <f t="shared" si="4"/>
        <v>1.11588</v>
      </c>
    </row>
    <row r="303" spans="1:3" x14ac:dyDescent="0.35">
      <c r="A303" s="40">
        <v>36342</v>
      </c>
      <c r="B303">
        <v>11.673</v>
      </c>
      <c r="C303">
        <f t="shared" si="4"/>
        <v>1.11673</v>
      </c>
    </row>
    <row r="304" spans="1:3" x14ac:dyDescent="0.35">
      <c r="A304" s="40">
        <v>36312</v>
      </c>
      <c r="B304">
        <v>11.851000000000001</v>
      </c>
      <c r="C304">
        <f t="shared" si="4"/>
        <v>1.1185100000000001</v>
      </c>
    </row>
    <row r="305" spans="1:3" x14ac:dyDescent="0.35">
      <c r="A305" s="40">
        <v>36281</v>
      </c>
      <c r="B305">
        <v>11.7</v>
      </c>
      <c r="C305">
        <f t="shared" si="4"/>
        <v>1.117</v>
      </c>
    </row>
    <row r="306" spans="1:3" x14ac:dyDescent="0.35">
      <c r="A306" s="40">
        <v>36251</v>
      </c>
      <c r="B306">
        <v>11.885999999999999</v>
      </c>
      <c r="C306">
        <f t="shared" si="4"/>
        <v>1.11886</v>
      </c>
    </row>
    <row r="307" spans="1:3" x14ac:dyDescent="0.35">
      <c r="A307" s="40">
        <v>36220</v>
      </c>
      <c r="B307">
        <v>11.994</v>
      </c>
      <c r="C307">
        <f t="shared" si="4"/>
        <v>1.1199399999999999</v>
      </c>
    </row>
    <row r="308" spans="1:3" x14ac:dyDescent="0.35">
      <c r="A308" s="40">
        <v>36192</v>
      </c>
      <c r="B308">
        <v>12.223000000000001</v>
      </c>
      <c r="C308">
        <f t="shared" si="4"/>
        <v>1.1222300000000001</v>
      </c>
    </row>
    <row r="309" spans="1:3" x14ac:dyDescent="0.35">
      <c r="A309" s="40">
        <v>36161</v>
      </c>
      <c r="B309">
        <v>12.218999999999999</v>
      </c>
      <c r="C309">
        <f t="shared" si="4"/>
        <v>1.12219</v>
      </c>
    </row>
    <row r="310" spans="1:3" x14ac:dyDescent="0.35">
      <c r="A310" s="40">
        <v>36130</v>
      </c>
      <c r="B310">
        <v>12.212999999999999</v>
      </c>
      <c r="C310">
        <f t="shared" si="4"/>
        <v>1.1221300000000001</v>
      </c>
    </row>
    <row r="311" spans="1:3" x14ac:dyDescent="0.35">
      <c r="A311" s="40">
        <v>36100</v>
      </c>
      <c r="B311">
        <v>12.221</v>
      </c>
      <c r="C311">
        <f t="shared" si="4"/>
        <v>1.1222099999999999</v>
      </c>
    </row>
    <row r="312" spans="1:3" x14ac:dyDescent="0.35">
      <c r="A312" s="40">
        <v>36069</v>
      </c>
      <c r="B312">
        <v>12.302</v>
      </c>
      <c r="C312">
        <f t="shared" si="4"/>
        <v>1.1230199999999999</v>
      </c>
    </row>
    <row r="313" spans="1:3" x14ac:dyDescent="0.35">
      <c r="A313" s="40">
        <v>36039</v>
      </c>
      <c r="B313">
        <v>12.287000000000001</v>
      </c>
      <c r="C313">
        <f t="shared" si="4"/>
        <v>1.12287</v>
      </c>
    </row>
    <row r="314" spans="1:3" x14ac:dyDescent="0.35">
      <c r="A314" s="40">
        <v>36008</v>
      </c>
      <c r="B314">
        <v>12.241</v>
      </c>
      <c r="C314">
        <f t="shared" si="4"/>
        <v>1.1224099999999999</v>
      </c>
    </row>
    <row r="315" spans="1:3" x14ac:dyDescent="0.35">
      <c r="A315" s="40">
        <v>35977</v>
      </c>
      <c r="B315">
        <v>12.2</v>
      </c>
      <c r="C315">
        <f t="shared" si="4"/>
        <v>1.1219999999999999</v>
      </c>
    </row>
    <row r="316" spans="1:3" x14ac:dyDescent="0.35">
      <c r="A316" s="40">
        <v>35947</v>
      </c>
      <c r="B316">
        <v>12.117000000000001</v>
      </c>
      <c r="C316">
        <f t="shared" si="4"/>
        <v>1.12117</v>
      </c>
    </row>
    <row r="317" spans="1:3" x14ac:dyDescent="0.35">
      <c r="A317" s="40">
        <v>35916</v>
      </c>
      <c r="B317">
        <v>12.048999999999999</v>
      </c>
      <c r="C317">
        <f t="shared" si="4"/>
        <v>1.12049</v>
      </c>
    </row>
    <row r="318" spans="1:3" x14ac:dyDescent="0.35">
      <c r="A318" s="40">
        <v>35886</v>
      </c>
      <c r="B318">
        <v>11.781000000000001</v>
      </c>
      <c r="C318">
        <f t="shared" si="4"/>
        <v>1.11781</v>
      </c>
    </row>
    <row r="319" spans="1:3" x14ac:dyDescent="0.35">
      <c r="A319" s="40">
        <v>35855</v>
      </c>
      <c r="B319">
        <v>12.086</v>
      </c>
      <c r="C319">
        <f t="shared" si="4"/>
        <v>1.12086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DF46-BE70-43F8-998A-904404472721}">
  <dimension ref="C3:E28"/>
  <sheetViews>
    <sheetView zoomScale="58" workbookViewId="0">
      <selection activeCell="D28" sqref="D28"/>
    </sheetView>
  </sheetViews>
  <sheetFormatPr defaultRowHeight="14.5" x14ac:dyDescent="0.35"/>
  <cols>
    <col min="3" max="3" width="36.453125" bestFit="1" customWidth="1"/>
    <col min="4" max="4" width="20.453125" bestFit="1" customWidth="1"/>
  </cols>
  <sheetData>
    <row r="3" spans="3:5" ht="18.5" x14ac:dyDescent="0.45">
      <c r="C3" s="37" t="s">
        <v>121</v>
      </c>
    </row>
    <row r="4" spans="3:5" ht="18.5" x14ac:dyDescent="0.45">
      <c r="C4" s="39"/>
    </row>
    <row r="5" spans="3:5" x14ac:dyDescent="0.35">
      <c r="C5" t="s">
        <v>120</v>
      </c>
      <c r="D5" s="5">
        <v>7.0999999999999994E-2</v>
      </c>
    </row>
    <row r="6" spans="3:5" x14ac:dyDescent="0.35">
      <c r="C6" t="s">
        <v>118</v>
      </c>
      <c r="D6" s="13" t="s">
        <v>119</v>
      </c>
      <c r="E6">
        <v>24010.6</v>
      </c>
    </row>
    <row r="7" spans="3:5" x14ac:dyDescent="0.35">
      <c r="C7" t="s">
        <v>118</v>
      </c>
      <c r="D7" s="5" t="s">
        <v>117</v>
      </c>
      <c r="E7">
        <v>1471.45</v>
      </c>
    </row>
    <row r="8" spans="3:5" x14ac:dyDescent="0.35">
      <c r="C8" t="s">
        <v>116</v>
      </c>
      <c r="D8" s="1">
        <f>(E6/E7)^(1/24)-1</f>
        <v>0.12338183212605802</v>
      </c>
    </row>
    <row r="9" spans="3:5" x14ac:dyDescent="0.35">
      <c r="C9" t="s">
        <v>115</v>
      </c>
      <c r="D9" s="13">
        <f>'Fundamental Beta'!C11</f>
        <v>0.50921737876354078</v>
      </c>
    </row>
    <row r="10" spans="3:5" x14ac:dyDescent="0.35">
      <c r="C10" t="s">
        <v>114</v>
      </c>
      <c r="D10" s="5">
        <f>'India 10-Year Bond Yield Histor'!F3</f>
        <v>7.8118206749620667E-2</v>
      </c>
    </row>
    <row r="11" spans="3:5" x14ac:dyDescent="0.35">
      <c r="C11" t="s">
        <v>113</v>
      </c>
      <c r="D11" s="38">
        <f>D5+(D9*(D8-D10))</f>
        <v>9.4049024667524309E-2</v>
      </c>
    </row>
    <row r="13" spans="3:5" ht="18.5" x14ac:dyDescent="0.45">
      <c r="C13" s="37" t="s">
        <v>108</v>
      </c>
    </row>
    <row r="15" spans="3:5" x14ac:dyDescent="0.35">
      <c r="C15" t="s">
        <v>112</v>
      </c>
      <c r="D15" t="s">
        <v>111</v>
      </c>
    </row>
    <row r="16" spans="3:5" x14ac:dyDescent="0.35">
      <c r="C16" t="s">
        <v>110</v>
      </c>
      <c r="D16">
        <v>0</v>
      </c>
    </row>
    <row r="17" spans="3:4" x14ac:dyDescent="0.35">
      <c r="C17" t="s">
        <v>109</v>
      </c>
      <c r="D17" s="5">
        <f>D5</f>
        <v>7.0999999999999994E-2</v>
      </c>
    </row>
    <row r="18" spans="3:4" x14ac:dyDescent="0.35">
      <c r="C18" t="s">
        <v>108</v>
      </c>
      <c r="D18" s="5">
        <f>D17+(D16/100)</f>
        <v>7.0999999999999994E-2</v>
      </c>
    </row>
    <row r="19" spans="3:4" x14ac:dyDescent="0.35">
      <c r="C19" t="s">
        <v>107</v>
      </c>
      <c r="D19" s="4">
        <v>0.28000000000000003</v>
      </c>
    </row>
    <row r="20" spans="3:4" x14ac:dyDescent="0.35">
      <c r="C20" t="s">
        <v>106</v>
      </c>
      <c r="D20" s="5">
        <f>D18*(1-D19)</f>
        <v>5.1119999999999992E-2</v>
      </c>
    </row>
    <row r="22" spans="3:4" ht="18.5" x14ac:dyDescent="0.45">
      <c r="C22" s="37" t="s">
        <v>105</v>
      </c>
    </row>
    <row r="24" spans="3:4" x14ac:dyDescent="0.35">
      <c r="C24" t="s">
        <v>126</v>
      </c>
      <c r="D24" s="13">
        <f>'Relative Valuation'!F6</f>
        <v>4003.8902311874995</v>
      </c>
    </row>
    <row r="25" spans="3:4" x14ac:dyDescent="0.35">
      <c r="C25" t="s">
        <v>59</v>
      </c>
      <c r="D25" s="13">
        <f>'Fundamental Beta'!F10</f>
        <v>32.736699999999999</v>
      </c>
    </row>
    <row r="26" spans="3:4" x14ac:dyDescent="0.35">
      <c r="C26" t="s">
        <v>127</v>
      </c>
      <c r="D26" s="42">
        <f>D25/($D$25+$D$24)</f>
        <v>8.1099146782854861E-3</v>
      </c>
    </row>
    <row r="27" spans="3:4" x14ac:dyDescent="0.35">
      <c r="C27" t="s">
        <v>128</v>
      </c>
      <c r="D27" s="42">
        <f>D24/($D$25+$D$24)</f>
        <v>0.99189008532171452</v>
      </c>
    </row>
    <row r="28" spans="3:4" x14ac:dyDescent="0.35">
      <c r="C28" t="s">
        <v>105</v>
      </c>
      <c r="D28" s="1">
        <f>(D26*D20)+(D27*D11)</f>
        <v>9.3700873940248675E-2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836E-8DC9-4D01-89A2-F882139B4A52}">
  <dimension ref="B2:O53"/>
  <sheetViews>
    <sheetView tabSelected="1" zoomScale="73" workbookViewId="0">
      <selection activeCell="I3" sqref="I3"/>
    </sheetView>
  </sheetViews>
  <sheetFormatPr defaultColWidth="9.08984375" defaultRowHeight="14.5" x14ac:dyDescent="0.35"/>
  <cols>
    <col min="1" max="1" width="9.08984375" style="13"/>
    <col min="2" max="2" width="13.6328125" style="13" customWidth="1"/>
    <col min="3" max="3" width="36.08984375" style="13" bestFit="1" customWidth="1"/>
    <col min="4" max="4" width="26.6328125" style="13" customWidth="1"/>
    <col min="5" max="5" width="36.90625" style="13" customWidth="1"/>
    <col min="6" max="6" width="22" style="13" bestFit="1" customWidth="1"/>
    <col min="7" max="7" width="21.90625" style="13" bestFit="1" customWidth="1"/>
    <col min="8" max="8" width="27.08984375" style="13" customWidth="1"/>
    <col min="9" max="9" width="22.90625" style="13" bestFit="1" customWidth="1"/>
    <col min="10" max="10" width="15.6328125" style="13" customWidth="1"/>
    <col min="11" max="11" width="29.453125" style="13" bestFit="1" customWidth="1"/>
    <col min="12" max="12" width="22.36328125" style="13" bestFit="1" customWidth="1"/>
    <col min="13" max="13" width="20.36328125" style="13" customWidth="1"/>
    <col min="14" max="14" width="21.6328125" style="13" customWidth="1"/>
    <col min="15" max="15" width="25.36328125" style="13" customWidth="1"/>
    <col min="16" max="16384" width="9.08984375" style="13"/>
  </cols>
  <sheetData>
    <row r="2" spans="2:15" ht="18.5" x14ac:dyDescent="0.45">
      <c r="D2" s="15" t="s">
        <v>89</v>
      </c>
    </row>
    <row r="5" spans="2:15" ht="29" x14ac:dyDescent="0.35">
      <c r="B5" s="13" t="s">
        <v>74</v>
      </c>
      <c r="C5" s="13" t="s">
        <v>88</v>
      </c>
      <c r="D5" s="13" t="s">
        <v>87</v>
      </c>
      <c r="E5" s="13" t="s">
        <v>86</v>
      </c>
      <c r="F5" s="13" t="s">
        <v>85</v>
      </c>
      <c r="G5" s="13" t="s">
        <v>84</v>
      </c>
      <c r="H5" s="13" t="s">
        <v>83</v>
      </c>
      <c r="I5" s="17" t="s">
        <v>82</v>
      </c>
      <c r="J5" s="17" t="s">
        <v>81</v>
      </c>
      <c r="K5" s="17" t="s">
        <v>80</v>
      </c>
      <c r="L5" s="17" t="s">
        <v>79</v>
      </c>
      <c r="M5" s="17" t="s">
        <v>78</v>
      </c>
      <c r="N5" s="13" t="s">
        <v>77</v>
      </c>
      <c r="O5" s="13" t="s">
        <v>76</v>
      </c>
    </row>
    <row r="6" spans="2:15" x14ac:dyDescent="0.35">
      <c r="B6" s="16">
        <v>1</v>
      </c>
      <c r="C6" s="13" t="s">
        <v>64</v>
      </c>
      <c r="D6" s="13">
        <v>1668.75</v>
      </c>
      <c r="E6" s="13">
        <v>2399.3349699999999</v>
      </c>
      <c r="F6" s="13">
        <f t="shared" ref="F6:F13" si="0">E6*D6/1000</f>
        <v>4003.8902311874995</v>
      </c>
      <c r="G6" s="13">
        <v>4097.8429999999998</v>
      </c>
      <c r="H6" s="13">
        <v>484.97809999999998</v>
      </c>
      <c r="I6" s="1">
        <f>(477.584/323.2517)^0.2-1</f>
        <v>8.1189427397671432E-2</v>
      </c>
      <c r="J6" s="13">
        <v>531.22119999999995</v>
      </c>
      <c r="K6" s="1">
        <f>J6/477.5845-1</f>
        <v>0.11230829308740131</v>
      </c>
      <c r="L6" s="13">
        <v>132.6489</v>
      </c>
      <c r="M6" s="1">
        <f>(132.5254/69.5828)^0.2-1</f>
        <v>0.13752105659163405</v>
      </c>
      <c r="N6" s="13">
        <v>46.53</v>
      </c>
      <c r="O6" s="1">
        <f>N6/41.8-1</f>
        <v>0.11315789473684212</v>
      </c>
    </row>
    <row r="7" spans="2:15" x14ac:dyDescent="0.35">
      <c r="B7" s="16">
        <v>2</v>
      </c>
      <c r="C7" s="13" t="s">
        <v>71</v>
      </c>
      <c r="D7" s="13">
        <v>1577.45</v>
      </c>
      <c r="E7" s="13">
        <v>807.36706200000003</v>
      </c>
      <c r="F7" s="13">
        <f t="shared" si="0"/>
        <v>1273.5811719518999</v>
      </c>
      <c r="G7" s="13">
        <v>1228.453</v>
      </c>
      <c r="H7" s="13">
        <v>258.02109999999999</v>
      </c>
      <c r="I7" s="1">
        <f>(254.4663/166.9485)^0.2-1</f>
        <v>8.7951538714772237E-2</v>
      </c>
      <c r="J7" s="13">
        <v>278.55489999999998</v>
      </c>
      <c r="K7" s="1">
        <f>(278.5549/254.4663)-1</f>
        <v>9.4663222595683605E-2</v>
      </c>
      <c r="L7" s="13">
        <v>65.129400000000004</v>
      </c>
      <c r="M7" s="1">
        <f>(64.0046/32.8528)^0.2-1</f>
        <v>0.14268824458107554</v>
      </c>
      <c r="N7" s="13">
        <v>58.01</v>
      </c>
      <c r="O7" s="1">
        <f>(58.01/50.86)-1</f>
        <v>0.14058198977585534</v>
      </c>
    </row>
    <row r="8" spans="2:15" x14ac:dyDescent="0.35">
      <c r="B8" s="16">
        <v>3</v>
      </c>
      <c r="C8" s="13" t="s">
        <v>70</v>
      </c>
      <c r="D8" s="13">
        <v>1206.7</v>
      </c>
      <c r="E8" s="13">
        <v>1006.2339899999999</v>
      </c>
      <c r="F8" s="13">
        <f t="shared" si="0"/>
        <v>1214.222555733</v>
      </c>
      <c r="G8" s="13">
        <v>1231.7617</v>
      </c>
      <c r="H8" s="13">
        <v>200.15199999999999</v>
      </c>
      <c r="I8" s="1">
        <f>(190.215/138.121)^0.2-1</f>
        <v>6.6097707654380722E-2</v>
      </c>
      <c r="J8" s="13">
        <v>225.75540000000001</v>
      </c>
      <c r="K8" s="1">
        <f>(J8/190.215)-1</f>
        <v>0.18684330888731182</v>
      </c>
      <c r="L8" s="13">
        <v>57.957000000000001</v>
      </c>
      <c r="M8" s="1">
        <f>(52.889/27.981)^0.2-1</f>
        <v>0.13579623528685714</v>
      </c>
      <c r="N8" s="13">
        <v>44.74</v>
      </c>
      <c r="O8" s="1">
        <f>N8/36.86-1</f>
        <v>0.21378187737384713</v>
      </c>
    </row>
    <row r="9" spans="2:15" x14ac:dyDescent="0.35">
      <c r="B9" s="16">
        <v>4</v>
      </c>
      <c r="C9" s="13" t="s">
        <v>69</v>
      </c>
      <c r="D9" s="13">
        <v>6933.85</v>
      </c>
      <c r="E9" s="13">
        <f>166.818466-0.289791</f>
        <v>166.52867499999999</v>
      </c>
      <c r="F9" s="13">
        <f t="shared" si="0"/>
        <v>1154.6848531487501</v>
      </c>
      <c r="G9" s="13">
        <v>1120.8984</v>
      </c>
      <c r="H9" s="13">
        <v>288.50700000000001</v>
      </c>
      <c r="I9" s="1">
        <f>(277.051/174.6)^0.2-1</f>
        <v>9.6738518411856544E-2</v>
      </c>
      <c r="J9" s="13">
        <v>309.3639</v>
      </c>
      <c r="K9" s="1">
        <f>(J9/279.164)-1</f>
        <v>0.10817977962774572</v>
      </c>
      <c r="L9" s="13">
        <v>82.738</v>
      </c>
      <c r="M9" s="1">
        <f>(79.334/44.371)^0.2-1</f>
        <v>0.12323861942370429</v>
      </c>
      <c r="N9" s="13">
        <v>346.49</v>
      </c>
      <c r="O9" s="1">
        <f>N9/317.03-1</f>
        <v>9.2924959782985983E-2</v>
      </c>
    </row>
    <row r="10" spans="2:15" x14ac:dyDescent="0.35">
      <c r="B10" s="16">
        <v>5</v>
      </c>
      <c r="C10" s="13" t="s">
        <v>68</v>
      </c>
      <c r="D10" s="13">
        <v>3343.65</v>
      </c>
      <c r="E10" s="13">
        <v>338.44544000000002</v>
      </c>
      <c r="F10" s="13">
        <f t="shared" si="0"/>
        <v>1131.6430954560001</v>
      </c>
      <c r="G10" s="13">
        <v>1167.3124</v>
      </c>
      <c r="H10" s="13">
        <v>108.29</v>
      </c>
      <c r="I10" s="1">
        <f>(105.6231/77.8001)^0.2-1</f>
        <v>6.3055040167594889E-2</v>
      </c>
      <c r="J10" s="13">
        <v>120.06870000000001</v>
      </c>
      <c r="K10" s="1">
        <f>(J10/105.6231)-1</f>
        <v>0.13676553708421757</v>
      </c>
      <c r="L10" s="13">
        <v>34.81</v>
      </c>
      <c r="M10" s="1">
        <f>(33.4968/21.7036)^0.2-1</f>
        <v>9.0672363476584472E-2</v>
      </c>
      <c r="N10" s="13">
        <v>60.13</v>
      </c>
      <c r="O10" s="1">
        <f>N10/46.37-1</f>
        <v>0.29674358421393165</v>
      </c>
    </row>
    <row r="11" spans="2:15" x14ac:dyDescent="0.35">
      <c r="B11" s="16">
        <v>6</v>
      </c>
      <c r="C11" s="13" t="s">
        <v>67</v>
      </c>
      <c r="D11" s="13">
        <v>2117.0500000000002</v>
      </c>
      <c r="E11" s="13">
        <v>455.67890799999998</v>
      </c>
      <c r="F11" s="13">
        <f t="shared" si="0"/>
        <v>964.69503218139994</v>
      </c>
      <c r="G11" s="13">
        <v>976.51800000000003</v>
      </c>
      <c r="H11" s="13">
        <v>204.28559999999999</v>
      </c>
      <c r="I11" s="1">
        <f>(196.5634/151.428)^0.2-1</f>
        <v>5.3560049064564685E-2</v>
      </c>
      <c r="J11" s="13">
        <v>220.08600000000001</v>
      </c>
      <c r="K11" s="1">
        <f>(J11/196.5634)-1</f>
        <v>0.11966927718995501</v>
      </c>
      <c r="L11" s="13">
        <v>42.282200000000003</v>
      </c>
      <c r="M11" s="1">
        <f>(37.7435/25.4465)^0.2-1</f>
        <v>8.2038771857025017E-2</v>
      </c>
      <c r="N11" s="13">
        <v>59.48</v>
      </c>
      <c r="O11" s="1">
        <f>N11/41.66-1</f>
        <v>0.42774843975036014</v>
      </c>
    </row>
    <row r="12" spans="2:15" x14ac:dyDescent="0.35">
      <c r="B12" s="16">
        <v>7</v>
      </c>
      <c r="C12" s="13" t="s">
        <v>66</v>
      </c>
      <c r="D12" s="13">
        <v>1522.5</v>
      </c>
      <c r="E12" s="13">
        <v>585.93860900000004</v>
      </c>
      <c r="F12" s="13">
        <f t="shared" si="0"/>
        <v>892.09153220250005</v>
      </c>
      <c r="G12" s="13">
        <v>897.46839999999997</v>
      </c>
      <c r="H12" s="13">
        <v>294.40219999999999</v>
      </c>
      <c r="I12" s="1">
        <f>(287.045/227.379)^0.2-1</f>
        <v>4.7707196098253801E-2</v>
      </c>
      <c r="J12" s="13">
        <v>316.0188</v>
      </c>
      <c r="K12" s="1">
        <f>(J12/287.045)-1</f>
        <v>0.10093818042467206</v>
      </c>
      <c r="L12" s="13">
        <v>62.814</v>
      </c>
      <c r="M12" s="1">
        <f>(59.053/49.0135)^0.2-1</f>
        <v>3.7971071689533842E-2</v>
      </c>
      <c r="N12" s="13">
        <v>67.489999999999995</v>
      </c>
      <c r="O12" s="1">
        <f>N12/54.62-1</f>
        <v>0.23562797510069577</v>
      </c>
    </row>
    <row r="13" spans="2:15" x14ac:dyDescent="0.35">
      <c r="B13" s="16">
        <v>8</v>
      </c>
      <c r="C13" s="13" t="s">
        <v>75</v>
      </c>
      <c r="D13" s="13">
        <v>1668.75</v>
      </c>
      <c r="E13" s="13">
        <v>282.19</v>
      </c>
      <c r="F13" s="13">
        <f t="shared" si="0"/>
        <v>470.9045625</v>
      </c>
      <c r="G13" s="13">
        <v>464.0539</v>
      </c>
      <c r="H13" s="13">
        <v>118.8283</v>
      </c>
      <c r="I13" s="1">
        <f>(115.7174/103.9723)^0.2-1</f>
        <v>2.163603566253447E-2</v>
      </c>
      <c r="J13" s="13">
        <v>137.87029999999999</v>
      </c>
      <c r="K13" s="1">
        <f>(J13/115.7174)-1</f>
        <v>0.19143966248809585</v>
      </c>
      <c r="L13" s="13">
        <v>13.4619</v>
      </c>
      <c r="M13" s="1">
        <f>(12.4424/16.9926)^0.2-1</f>
        <v>-6.0430598409279113E-2</v>
      </c>
      <c r="N13" s="13">
        <v>50.62</v>
      </c>
      <c r="O13" s="1">
        <f>(N13-(-64.88))/64.88</f>
        <v>1.7802096177558571</v>
      </c>
    </row>
    <row r="16" spans="2:15" x14ac:dyDescent="0.35">
      <c r="B16" s="13" t="s">
        <v>74</v>
      </c>
      <c r="C16" s="13" t="s">
        <v>73</v>
      </c>
      <c r="D16" s="13" t="s">
        <v>57</v>
      </c>
      <c r="E16" s="13" t="s">
        <v>56</v>
      </c>
      <c r="F16" s="13" t="s">
        <v>55</v>
      </c>
      <c r="G16" s="13" t="s">
        <v>54</v>
      </c>
      <c r="I16" s="13" t="s">
        <v>72</v>
      </c>
    </row>
    <row r="17" spans="2:10" x14ac:dyDescent="0.35">
      <c r="B17" s="16">
        <v>1</v>
      </c>
      <c r="C17" s="13" t="s">
        <v>71</v>
      </c>
      <c r="D17" s="13">
        <f t="shared" ref="D17:D22" si="1">(G7/H7)/(I7*100)</f>
        <v>0.54132723915838055</v>
      </c>
      <c r="E17" s="13">
        <f t="shared" ref="E17:E22" si="2">(G7/J7)/(K7*100)</f>
        <v>0.46587183772542085</v>
      </c>
      <c r="F17" s="13">
        <f t="shared" ref="F17:F22" si="3">(G7/L7)/(M7*100)</f>
        <v>1.3218837775708894</v>
      </c>
      <c r="G17" s="13">
        <f t="shared" ref="G17:G22" si="4">(D7/N7)/(O7*100)</f>
        <v>1.9342965223020383</v>
      </c>
      <c r="I17" s="13" t="s">
        <v>57</v>
      </c>
      <c r="J17" s="13">
        <f>(G6/H6)/(I6*100)</f>
        <v>1.040719540906764</v>
      </c>
    </row>
    <row r="18" spans="2:10" x14ac:dyDescent="0.35">
      <c r="B18" s="16">
        <v>2</v>
      </c>
      <c r="C18" s="13" t="s">
        <v>70</v>
      </c>
      <c r="D18" s="13">
        <f t="shared" si="1"/>
        <v>0.93106577800635726</v>
      </c>
      <c r="E18" s="13">
        <f t="shared" si="2"/>
        <v>0.29201892579802768</v>
      </c>
      <c r="F18" s="13">
        <f t="shared" si="3"/>
        <v>1.5650674850772734</v>
      </c>
      <c r="G18" s="13">
        <f t="shared" si="4"/>
        <v>1.2616312751169183</v>
      </c>
      <c r="I18" s="13" t="s">
        <v>56</v>
      </c>
      <c r="J18" s="13">
        <f>(G6/J6)/(K6*100)</f>
        <v>0.68685978579969087</v>
      </c>
    </row>
    <row r="19" spans="2:10" x14ac:dyDescent="0.35">
      <c r="B19" s="16">
        <v>3</v>
      </c>
      <c r="C19" s="13" t="s">
        <v>69</v>
      </c>
      <c r="D19" s="13">
        <f t="shared" si="1"/>
        <v>0.40161549723695178</v>
      </c>
      <c r="E19" s="13">
        <f t="shared" si="2"/>
        <v>0.33492728023438006</v>
      </c>
      <c r="F19" s="13">
        <f t="shared" si="3"/>
        <v>1.0992953884800993</v>
      </c>
      <c r="G19" s="13">
        <f t="shared" si="4"/>
        <v>2.1535321291241587</v>
      </c>
      <c r="I19" s="13" t="s">
        <v>55</v>
      </c>
      <c r="J19" s="13">
        <f>(G6/L6)/(M6*100)</f>
        <v>2.2463760592489903</v>
      </c>
    </row>
    <row r="20" spans="2:10" x14ac:dyDescent="0.35">
      <c r="B20" s="16">
        <v>4</v>
      </c>
      <c r="C20" s="13" t="s">
        <v>68</v>
      </c>
      <c r="D20" s="13">
        <f t="shared" si="1"/>
        <v>1.7095387073323156</v>
      </c>
      <c r="E20" s="13">
        <f t="shared" si="2"/>
        <v>0.7108543332006878</v>
      </c>
      <c r="F20" s="13">
        <f t="shared" si="3"/>
        <v>3.6983511103208344</v>
      </c>
      <c r="G20" s="13">
        <f t="shared" si="4"/>
        <v>1.8739080164005106</v>
      </c>
      <c r="I20" s="13" t="s">
        <v>54</v>
      </c>
      <c r="J20" s="13">
        <f>(D6/N6)/(O6*100)</f>
        <v>3.1693730976264369</v>
      </c>
    </row>
    <row r="21" spans="2:10" x14ac:dyDescent="0.35">
      <c r="B21" s="16">
        <v>5</v>
      </c>
      <c r="C21" s="13" t="s">
        <v>67</v>
      </c>
      <c r="D21" s="13">
        <f t="shared" si="1"/>
        <v>0.89248624668202192</v>
      </c>
      <c r="E21" s="13">
        <f t="shared" si="2"/>
        <v>0.37077049588099958</v>
      </c>
      <c r="F21" s="13">
        <f t="shared" si="3"/>
        <v>2.8151628749275823</v>
      </c>
      <c r="G21" s="13">
        <f t="shared" si="4"/>
        <v>0.83209271788345984</v>
      </c>
    </row>
    <row r="22" spans="2:10" x14ac:dyDescent="0.35">
      <c r="B22" s="16">
        <v>6</v>
      </c>
      <c r="C22" s="13" t="s">
        <v>66</v>
      </c>
      <c r="D22" s="13">
        <f t="shared" si="1"/>
        <v>0.63899023657649356</v>
      </c>
      <c r="E22" s="13">
        <f t="shared" si="2"/>
        <v>0.28135249755336805</v>
      </c>
      <c r="F22" s="13">
        <f t="shared" si="3"/>
        <v>3.7627889586736831</v>
      </c>
      <c r="G22" s="13">
        <f t="shared" si="4"/>
        <v>0.9573947068390688</v>
      </c>
    </row>
    <row r="24" spans="2:10" x14ac:dyDescent="0.35">
      <c r="C24" s="14" t="s">
        <v>53</v>
      </c>
      <c r="D24" s="14">
        <f>AVERAGE(D17:D22)</f>
        <v>0.85250395083208674</v>
      </c>
      <c r="E24" s="14">
        <f>AVERAGE(E17:E22)</f>
        <v>0.40929922839881394</v>
      </c>
      <c r="F24" s="14">
        <f>AVERAGE(F17:F22)</f>
        <v>2.3770915991750603</v>
      </c>
      <c r="G24" s="14">
        <f>AVERAGE(G17:G22)</f>
        <v>1.5021425612776922</v>
      </c>
    </row>
    <row r="25" spans="2:10" x14ac:dyDescent="0.35">
      <c r="C25" s="14" t="s">
        <v>52</v>
      </c>
      <c r="D25" s="14">
        <f>MEDIAN(D17:D22)</f>
        <v>0.76573824162925774</v>
      </c>
      <c r="E25" s="14">
        <f>MEDIAN(E17:E22)</f>
        <v>0.35284888805768982</v>
      </c>
      <c r="F25" s="14">
        <f>MEDIAN(F17:F22)</f>
        <v>2.1901151800024277</v>
      </c>
      <c r="G25" s="14">
        <f>MEDIAN(G17:G22)</f>
        <v>1.5677696457587145</v>
      </c>
    </row>
    <row r="26" spans="2:10" x14ac:dyDescent="0.35">
      <c r="C26" s="14" t="s">
        <v>51</v>
      </c>
      <c r="D26" s="14">
        <f>_xlfn.QUARTILE.INC(D17:D22,1)</f>
        <v>0.56574298851290883</v>
      </c>
      <c r="E26" s="14">
        <f>_xlfn.QUARTILE.INC(E17:E22,1)</f>
        <v>0.30274601440711579</v>
      </c>
      <c r="F26" s="14">
        <f>_xlfn.QUARTILE.INC(F17:F22,1)</f>
        <v>1.3826797044474854</v>
      </c>
      <c r="G26" s="14">
        <f>_xlfn.QUARTILE.INC(G17:G22,1)</f>
        <v>1.0334538489085312</v>
      </c>
    </row>
    <row r="27" spans="2:10" x14ac:dyDescent="0.35">
      <c r="C27" s="14" t="s">
        <v>50</v>
      </c>
      <c r="D27" s="14">
        <f>_xlfn.QUARTILE.INC(D17:D22,3)</f>
        <v>0.92142089517527337</v>
      </c>
      <c r="E27" s="14">
        <f>_xlfn.QUARTILE.INC(E17:E22,3)</f>
        <v>0.44209650226431552</v>
      </c>
      <c r="F27" s="14">
        <f>_xlfn.QUARTILE.INC(F17:F22,3)</f>
        <v>3.4775540514725214</v>
      </c>
      <c r="G27" s="14">
        <f>_xlfn.QUARTILE.INC(G17:G22,3)</f>
        <v>1.9191993958266564</v>
      </c>
    </row>
    <row r="29" spans="2:10" x14ac:dyDescent="0.35">
      <c r="C29" s="14" t="s">
        <v>65</v>
      </c>
      <c r="D29" s="14" t="s">
        <v>57</v>
      </c>
      <c r="E29" s="14" t="s">
        <v>56</v>
      </c>
      <c r="F29" s="14" t="s">
        <v>55</v>
      </c>
    </row>
    <row r="30" spans="2:10" x14ac:dyDescent="0.35">
      <c r="C30" s="14" t="s">
        <v>53</v>
      </c>
      <c r="D30" s="14">
        <f>D24*$H$6*($I$6*100)</f>
        <v>3356.7423403483299</v>
      </c>
      <c r="E30" s="14">
        <f>E24*$J$6*($K$6*100)</f>
        <v>2441.90155352699</v>
      </c>
      <c r="F30" s="14">
        <f>F24*$L$6*($M$6*100)</f>
        <v>4336.2945086295686</v>
      </c>
    </row>
    <row r="31" spans="2:10" x14ac:dyDescent="0.35">
      <c r="C31" s="14" t="s">
        <v>52</v>
      </c>
      <c r="D31" s="14">
        <f>D25*$H$6*($I$6*100)</f>
        <v>3015.1015426872614</v>
      </c>
      <c r="E31" s="14">
        <f>E25*$J$6*($K$6*100)</f>
        <v>2105.1157395996711</v>
      </c>
      <c r="F31" s="14">
        <f>F25*$L$6*($M$6*100)</f>
        <v>3995.2118090891386</v>
      </c>
    </row>
    <row r="32" spans="2:10" x14ac:dyDescent="0.35">
      <c r="C32" s="14" t="s">
        <v>51</v>
      </c>
      <c r="D32" s="14">
        <f>D26*$H$6*($I$6*100)</f>
        <v>2227.6183487981589</v>
      </c>
      <c r="E32" s="14">
        <f>E26*$J$6*($K$6*100)</f>
        <v>1806.1992586619369</v>
      </c>
      <c r="F32" s="14">
        <f>F26*$L$6*($M$6*100)</f>
        <v>2522.2866513305253</v>
      </c>
    </row>
    <row r="33" spans="3:7" x14ac:dyDescent="0.35">
      <c r="C33" s="14" t="s">
        <v>50</v>
      </c>
      <c r="D33" s="14">
        <f>D27*$H$6*($I$6*100)</f>
        <v>3628.1034581688491</v>
      </c>
      <c r="E33" s="14">
        <f>E27*$J$6*($K$6*100)</f>
        <v>2637.5718808738634</v>
      </c>
      <c r="F33" s="14">
        <f>F27*$L$6*($M$6*100)</f>
        <v>6343.7599721003689</v>
      </c>
    </row>
    <row r="35" spans="3:7" ht="18.5" x14ac:dyDescent="0.45">
      <c r="C35" s="15" t="s">
        <v>64</v>
      </c>
      <c r="D35" s="13" t="s">
        <v>63</v>
      </c>
    </row>
    <row r="36" spans="3:7" x14ac:dyDescent="0.35">
      <c r="C36" s="13" t="s">
        <v>62</v>
      </c>
      <c r="D36" s="13">
        <v>191.05199999999999</v>
      </c>
    </row>
    <row r="37" spans="3:7" x14ac:dyDescent="0.35">
      <c r="C37" s="13" t="s">
        <v>61</v>
      </c>
      <c r="D37" s="13">
        <v>0</v>
      </c>
    </row>
    <row r="38" spans="3:7" x14ac:dyDescent="0.35">
      <c r="C38" s="13" t="s">
        <v>60</v>
      </c>
      <c r="D38" s="13">
        <v>34.392200000000003</v>
      </c>
    </row>
    <row r="39" spans="3:7" x14ac:dyDescent="0.35">
      <c r="C39" s="13" t="s">
        <v>59</v>
      </c>
      <c r="D39" s="13">
        <v>32.736699999999999</v>
      </c>
    </row>
    <row r="41" spans="3:7" x14ac:dyDescent="0.35">
      <c r="C41" s="14" t="s">
        <v>58</v>
      </c>
      <c r="D41" s="14" t="s">
        <v>57</v>
      </c>
      <c r="E41" s="14" t="s">
        <v>56</v>
      </c>
      <c r="F41" s="14" t="s">
        <v>55</v>
      </c>
      <c r="G41" s="14" t="s">
        <v>54</v>
      </c>
    </row>
    <row r="42" spans="3:7" x14ac:dyDescent="0.35">
      <c r="C42" s="14" t="s">
        <v>53</v>
      </c>
      <c r="D42" s="14">
        <f t="shared" ref="D42:F45" si="5">(D30-SUM($D$36:$D$39))*1000/$E$6</f>
        <v>1291.4251153303242</v>
      </c>
      <c r="E42" s="14">
        <f t="shared" si="5"/>
        <v>910.13580047432492</v>
      </c>
      <c r="F42" s="14">
        <f>(F30-SUM($D$36:$D$39))*1000/$E$6</f>
        <v>1699.6849792213752</v>
      </c>
      <c r="G42" s="14">
        <f>G24*$N$6*($O$6*100)</f>
        <v>790.91363557336683</v>
      </c>
    </row>
    <row r="43" spans="3:7" x14ac:dyDescent="0.35">
      <c r="C43" s="14" t="s">
        <v>52</v>
      </c>
      <c r="D43" s="14">
        <f t="shared" si="5"/>
        <v>1149.0353273545884</v>
      </c>
      <c r="E43" s="14">
        <f t="shared" si="5"/>
        <v>769.76948308291912</v>
      </c>
      <c r="F43" s="14">
        <f t="shared" si="5"/>
        <v>1557.5277965832086</v>
      </c>
      <c r="G43" s="14">
        <f>G25*$N$6*($O$6*100)</f>
        <v>825.46784987831018</v>
      </c>
    </row>
    <row r="44" spans="3:7" x14ac:dyDescent="0.35">
      <c r="C44" s="14" t="s">
        <v>51</v>
      </c>
      <c r="D44" s="14">
        <f t="shared" si="5"/>
        <v>820.82638457028736</v>
      </c>
      <c r="E44" s="14">
        <f t="shared" si="5"/>
        <v>645.18642791337174</v>
      </c>
      <c r="F44" s="14">
        <f t="shared" si="5"/>
        <v>943.6388747880942</v>
      </c>
      <c r="G44" s="14">
        <f>G26*$N$6*($O$6*100)</f>
        <v>544.13792798886857</v>
      </c>
    </row>
    <row r="45" spans="3:7" x14ac:dyDescent="0.35">
      <c r="C45" s="14" t="s">
        <v>50</v>
      </c>
      <c r="D45" s="14">
        <f t="shared" si="5"/>
        <v>1404.5235868707609</v>
      </c>
      <c r="E45" s="14">
        <f t="shared" si="5"/>
        <v>991.68770122742126</v>
      </c>
      <c r="F45" s="14">
        <f t="shared" si="5"/>
        <v>2536.3607617073862</v>
      </c>
      <c r="G45" s="14">
        <f>G27*$N$6*($O$6*100)</f>
        <v>1010.5039366252676</v>
      </c>
    </row>
    <row r="48" spans="3:7" x14ac:dyDescent="0.35">
      <c r="C48" s="77" t="s">
        <v>178</v>
      </c>
      <c r="D48" s="77"/>
    </row>
    <row r="50" spans="3:4" x14ac:dyDescent="0.35">
      <c r="C50" s="58" t="s">
        <v>174</v>
      </c>
      <c r="D50" s="58">
        <f>D6</f>
        <v>1668.75</v>
      </c>
    </row>
    <row r="51" spans="3:4" x14ac:dyDescent="0.35">
      <c r="C51" s="58" t="s">
        <v>175</v>
      </c>
      <c r="D51" s="58">
        <f>F45</f>
        <v>2536.3607617073862</v>
      </c>
    </row>
    <row r="52" spans="3:4" x14ac:dyDescent="0.35">
      <c r="C52" s="58" t="s">
        <v>176</v>
      </c>
      <c r="D52" s="59">
        <f>(D51-D6)/D6</f>
        <v>0.5199165613227783</v>
      </c>
    </row>
    <row r="53" spans="3:4" x14ac:dyDescent="0.35">
      <c r="C53" s="58" t="s">
        <v>177</v>
      </c>
      <c r="D53" s="59">
        <f>(D50-G45)/D50</f>
        <v>0.39445456981257376</v>
      </c>
    </row>
  </sheetData>
  <mergeCells count="1">
    <mergeCell ref="C48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IS</vt:lpstr>
      <vt:lpstr>Revenue Projection</vt:lpstr>
      <vt:lpstr>FCFF (Best Case)</vt:lpstr>
      <vt:lpstr>FCFF (Worst Case)</vt:lpstr>
      <vt:lpstr>FCFF (Base Case)</vt:lpstr>
      <vt:lpstr>Fundamental Beta</vt:lpstr>
      <vt:lpstr>India 10-Year Bond Yield Histor</vt:lpstr>
      <vt:lpstr>WACC</vt:lpstr>
      <vt:lpstr>Relative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Deepanshu Rawat</cp:lastModifiedBy>
  <dcterms:created xsi:type="dcterms:W3CDTF">2013-04-03T15:49:21Z</dcterms:created>
  <dcterms:modified xsi:type="dcterms:W3CDTF">2024-11-15T06:57:55Z</dcterms:modified>
</cp:coreProperties>
</file>